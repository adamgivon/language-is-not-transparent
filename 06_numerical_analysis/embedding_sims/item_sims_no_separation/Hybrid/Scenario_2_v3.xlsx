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2_hybrid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<sst xmlns="http://schemas.openxmlformats.org/spreadsheetml/2006/main" count="851" uniqueCount="139">
  <si>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</si>
  <si>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</si>
  <si>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</si>
  <si>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</si>
  <si>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</si>
  <si>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</si>
  <si>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</si>
  <si>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</si>
  <si>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</si>
  <si>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</si>
  <si>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</si>
  <si>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</si>
  <si>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Average activation/turn</t>
  </si>
  <si>
    <t xml:space="preserve">average conversation activation</t>
  </si>
  <si>
    <t xml:space="preserve">count</t>
  </si>
  <si>
    <t xml:space="preserve">correlation weights / activation delta</t>
  </si>
  <si>
    <t xml:space="preserve">p</t>
  </si>
  <si>
    <t xml:space="preserve">d7199d7d-6a47-4d63-91a7-1d642985b639</t>
  </si>
  <si>
    <t xml:space="preserve">cmj9sphq4000kzc31ucmlve74</t>
  </si>
  <si>
    <t xml:space="preserve">cmj9sql6b0011zc31zau5r6ne</t>
  </si>
  <si>
    <t xml:space="preserve">hybrid_v3_5</t>
  </si>
  <si>
    <t xml:space="preserve">Scenario_2_v3</t>
  </si>
  <si>
    <t xml:space="preserve">practicality_and_feasibility</t>
  </si>
  <si>
    <t xml:space="preserve">temporal_dynamics</t>
  </si>
  <si>
    <t xml:space="preserve">affective_interface</t>
  </si>
  <si>
    <t xml:space="preserve">imagination_and_possibility</t>
  </si>
  <si>
    <t xml:space="preserve">mathematics_computer_science_engineering</t>
  </si>
  <si>
    <t xml:space="preserve">truth_and_fact</t>
  </si>
  <si>
    <t xml:space="preserve">d01f6534-66fb-4c96-96cb-6e5a528be504</t>
  </si>
  <si>
    <t xml:space="preserve">cmj9swzgr001mzc31ym4n4haq</t>
  </si>
  <si>
    <t xml:space="preserve">cmj9sxqo20023zc31e8tb02xf</t>
  </si>
  <si>
    <t xml:space="preserve">0fc922b6-44bd-43d3-a2d9-e96baaed72f5</t>
  </si>
  <si>
    <t xml:space="preserve">cmj9t0aru0027zc312n57vva0</t>
  </si>
  <si>
    <t xml:space="preserve">cmj9t0wcs002ozc31p2zwtkxn</t>
  </si>
  <si>
    <t xml:space="preserve">96ccf57e-b7a0-408c-8a96-58a208ea0005</t>
  </si>
  <si>
    <t xml:space="preserve">cmj9t1ovx002szc31u7y416eg</t>
  </si>
  <si>
    <t xml:space="preserve">cmj9t2ba70039zc31nps62our</t>
  </si>
  <si>
    <t xml:space="preserve">be699ceb-2e68-43a1-8ae8-ccaaec0a4d85</t>
  </si>
  <si>
    <t xml:space="preserve">cmj9t33lg003dzc31m2926qrd</t>
  </si>
  <si>
    <t xml:space="preserve">cmj9t3o78003uzc317yc0atb5</t>
  </si>
  <si>
    <t xml:space="preserve">f9d05408-2fa1-4752-a27b-b4ebdcf98095</t>
  </si>
  <si>
    <t xml:space="preserve">cmj9t4ycr003yzc31z80o9oao</t>
  </si>
  <si>
    <t xml:space="preserve">cmj9t648s004fzc316o71tcvj</t>
  </si>
  <si>
    <t xml:space="preserve">a0d1772a-53f9-4df4-884a-3af84a607054</t>
  </si>
  <si>
    <t xml:space="preserve">cmj9t7lil004jzc31ri26w9sc</t>
  </si>
  <si>
    <t xml:space="preserve">cmj9t89650050zc31qnqyba0m</t>
  </si>
  <si>
    <t xml:space="preserve">48e09286-af61-4b0e-b587-72363d7d915e</t>
  </si>
  <si>
    <t xml:space="preserve">cmj9t91wd0054zc31w2776jpx</t>
  </si>
  <si>
    <t xml:space="preserve">cmj9t9o7o005lzc31vxrnmow7</t>
  </si>
  <si>
    <t xml:space="preserve">9ce6d58a-eaf9-400b-9df6-31e16034a165</t>
  </si>
  <si>
    <t xml:space="preserve">cmj9tblzx005pzc31u3zeqa00</t>
  </si>
  <si>
    <t xml:space="preserve">cmj9tcajn0066zc31h7yl0ugn</t>
  </si>
  <si>
    <t xml:space="preserve">6fb61529-0c92-4089-88ec-44a40fb12d94</t>
  </si>
  <si>
    <t xml:space="preserve">cmj9teco7006azc31m3oml5rx</t>
  </si>
  <si>
    <t xml:space="preserve">cmj9tevvc006rzc31sq39935s</t>
  </si>
  <si>
    <t xml:space="preserve">25b8023a-02d7-4186-a12a-5f65dfbb07f2</t>
  </si>
  <si>
    <t xml:space="preserve">cmj9tglbe006vzc316bojk4xo</t>
  </si>
  <si>
    <t xml:space="preserve">cmj9th5b2007czc314ncxvhta</t>
  </si>
  <si>
    <t xml:space="preserve">context_dependent_expression</t>
  </si>
  <si>
    <t xml:space="preserve">a59306d2-a220-487d-a0ba-815de38938f8</t>
  </si>
  <si>
    <t xml:space="preserve">cmj9tj7zu007gzc31oc7x8kko</t>
  </si>
  <si>
    <t xml:space="preserve">cmj9tjt3a007xzc31gbhkps11</t>
  </si>
  <si>
    <t xml:space="preserve">655b8189-d489-420a-bb55-5af6887b2ae3</t>
  </si>
  <si>
    <t xml:space="preserve">cmj9tlnmv0081zc31hrmir47n</t>
  </si>
  <si>
    <t xml:space="preserve">cmj9tm5mp008izc31jcebcnxm</t>
  </si>
  <si>
    <t xml:space="preserve">e889633c-7d3b-4614-b60b-e18791427653</t>
  </si>
  <si>
    <t xml:space="preserve">cmj9to57d008mzc31gdoz2jdc</t>
  </si>
  <si>
    <t xml:space="preserve">cmj9tower0093zc31ofhcoyyo</t>
  </si>
  <si>
    <t xml:space="preserve">3d9adb9e-5f7d-4416-90bd-a21bb4174f1e</t>
  </si>
  <si>
    <t xml:space="preserve">cmj9tusmp0097zc3142hfosgb</t>
  </si>
  <si>
    <t xml:space="preserve">cmj9tvkwl009ozc3137tptd4j</t>
  </si>
  <si>
    <t xml:space="preserve">36d884d6-fb83-43a7-a903-fd4ec14a7b3a</t>
  </si>
  <si>
    <t xml:space="preserve">cmj9tx8w9009szc31uilgzcw5</t>
  </si>
  <si>
    <t xml:space="preserve">cmj9ty0pp00a9zc31wp8k3r3b</t>
  </si>
  <si>
    <t xml:space="preserve">b1abd06f-37dc-4aed-a274-3b5c46d64535</t>
  </si>
  <si>
    <t xml:space="preserve">cmj9tzzqm00adzc316r5gr1ay</t>
  </si>
  <si>
    <t xml:space="preserve">cmj9u0p0600auzc312y3icm2h</t>
  </si>
  <si>
    <t xml:space="preserve">0aece662-509a-4899-9546-2b52ffcbfd0a</t>
  </si>
  <si>
    <t xml:space="preserve">cmj9u1jm100ayzc31uowmktli</t>
  </si>
  <si>
    <t xml:space="preserve">cmj9u294800bfzc31oi9wq2gs</t>
  </si>
  <si>
    <t xml:space="preserve">4b58e82e-860e-4599-9bf9-3f8c26bc9630</t>
  </si>
  <si>
    <t xml:space="preserve">cmj9u2vxq00bjzc31ragmo93g</t>
  </si>
  <si>
    <t xml:space="preserve">cmj9u3iuq00c0zc3190rs6c50</t>
  </si>
  <si>
    <t xml:space="preserve">sovereignty</t>
  </si>
  <si>
    <t xml:space="preserve">75a58deb-9929-42ef-a23c-3fad3865d21f</t>
  </si>
  <si>
    <t xml:space="preserve">cmj9u5ax700c4zc319zf3x69f</t>
  </si>
  <si>
    <t xml:space="preserve">cmj9u5ift00clzc31zac5t9e4</t>
  </si>
  <si>
    <t xml:space="preserve">64b6f819-bf4d-4e9a-bc96-b5a28b6dd74b</t>
  </si>
  <si>
    <t xml:space="preserve">cmj9u5wbz00cpzc311uvtigxw</t>
  </si>
  <si>
    <t xml:space="preserve">cmj9u6bv400d6zc3113hzdh6c</t>
  </si>
  <si>
    <t xml:space="preserve">02eeea3e-42b1-4bce-bfb5-db96e9e2e360</t>
  </si>
  <si>
    <t xml:space="preserve">cmj9u7b4l00dazc31pfzinyc7</t>
  </si>
  <si>
    <t xml:space="preserve">cmj9u7tya00drzc31ivdqer7v</t>
  </si>
  <si>
    <t xml:space="preserve">b327d040-a75e-468a-befe-1cceb7841d77</t>
  </si>
  <si>
    <t xml:space="preserve">cmj9u91bb00dvzc31fgdjpzms</t>
  </si>
  <si>
    <t xml:space="preserve">cmj9u9b9y00eczc31k3tv2pv8</t>
  </si>
  <si>
    <t xml:space="preserve">metaphorical_scaffolding</t>
  </si>
  <si>
    <t xml:space="preserve">f79c6a03-5a91-412b-afea-ee9dcde0a8fd</t>
  </si>
  <si>
    <t xml:space="preserve">cmj9u9ubc00egzc316dty4qne</t>
  </si>
  <si>
    <t xml:space="preserve">cmj9uagfx00exzc311ukbi1e7</t>
  </si>
  <si>
    <t xml:space="preserve">1a1cc257-5b59-4548-96e4-90f3d620fc29</t>
  </si>
  <si>
    <t xml:space="preserve">cmj9ubvhw00f1zc31imd4cfiv</t>
  </si>
  <si>
    <t xml:space="preserve">cmj9ucba600fizc31ksz7xjwl</t>
  </si>
  <si>
    <t xml:space="preserve">freedom_and_limitations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</si>
  <si>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</si>
  <si>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</si>
  <si>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</si>
  <si>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</si>
  <si>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Correlation</t>
  </si>
  <si>
    <t xml:space="preserve">T-statistic</t>
  </si>
  <si>
    <t xml:space="preserve">turn</t>
  </si>
  <si>
    <t xml:space="preserve">Prompt-response</t>
  </si>
  <si>
    <t xml:space="preserve">hybrid</t>
  </si>
  <si>
    <t xml:space="preserve">control</t>
  </si>
  <si>
    <t xml:space="preserve">std. Hybrid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</si>
  <si>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</si>
  <si>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</si>
  <si>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</si>
  <si>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</si>
  <si>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</si>
  <si>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</si>
  <si>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</si>
  <si>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</si>
  <si>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</si>
  <si>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</si>
  <si>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</si>
  <si>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</si>
  <si>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</si>
  <si>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</si>
  <si>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</si>
  <si>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</si>
  <si>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</si>
  <si>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</si>
  <si>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</si>
  <si>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</si>
  <si>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</si>
  <si>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</si>
  <si>
    <t xml:space="preserve">ac15p</t>
  </si>
  <si>
    <t xml:space="preserve">std. Ac15p</t>
  </si>
</sst>
</file>

<file path=xl/styles.xml><?xml version="1.0" encoding="utf-8"?>
<styleSheet xmlns="http://schemas.openxmlformats.org/spreadsheetml/2006/main">
  <numFmts count="4">
    <numFmt numFmtId="164" formatCode="0.000000;[RED]\-0.000000"/>
    <numFmt numFmtId="165" formatCode="0;[RED]\-0"/>
    <numFmt numFmtId="166" formatCode="0.0000;[RED]\-0.0000"/>
    <numFmt numFmtId="167" formatCode="General"/>
  </numFmts>
  <fonts count="6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actdel_prompt_response!$B$3:$B$27</c:f>
              <c:numCache>
                <c:formatCode>0.000000;[RED]\-0.000000</c:formatCode>
                <c:ptCount val="25"/>
                <c:pt idx="0">
                  <c:v>0.825587383221469</c:v>
                </c:pt>
                <c:pt idx="1">
                  <c:v>0.784325401049142</c:v>
                </c:pt>
                <c:pt idx="2">
                  <c:v>0.74701543366489</c:v>
                </c:pt>
                <c:pt idx="3">
                  <c:v>0.742572987280356</c:v>
                </c:pt>
                <c:pt idx="4">
                  <c:v>0.638291604257815</c:v>
                </c:pt>
                <c:pt idx="5">
                  <c:v>0.770021861028678</c:v>
                </c:pt>
                <c:pt idx="6">
                  <c:v>0.776708177030339</c:v>
                </c:pt>
                <c:pt idx="7">
                  <c:v>0.766895136055456</c:v>
                </c:pt>
                <c:pt idx="8">
                  <c:v>0.726865282761305</c:v>
                </c:pt>
                <c:pt idx="9">
                  <c:v>0.76670385944117</c:v>
                </c:pt>
                <c:pt idx="10">
                  <c:v>0.826512142391129</c:v>
                </c:pt>
                <c:pt idx="11">
                  <c:v>0.762736139690589</c:v>
                </c:pt>
                <c:pt idx="12">
                  <c:v>0.710160103406143</c:v>
                </c:pt>
                <c:pt idx="13">
                  <c:v>0.734376384357835</c:v>
                </c:pt>
                <c:pt idx="14">
                  <c:v>0.756542240061655</c:v>
                </c:pt>
                <c:pt idx="15">
                  <c:v>0.773732018127407</c:v>
                </c:pt>
                <c:pt idx="16">
                  <c:v>0.812690613075421</c:v>
                </c:pt>
                <c:pt idx="17">
                  <c:v>0.726488853152379</c:v>
                </c:pt>
                <c:pt idx="18">
                  <c:v>0.763300559740396</c:v>
                </c:pt>
                <c:pt idx="19">
                  <c:v>0.816538134208694</c:v>
                </c:pt>
                <c:pt idx="20">
                  <c:v>0.643391428768254</c:v>
                </c:pt>
                <c:pt idx="21">
                  <c:v>0.769255872522075</c:v>
                </c:pt>
                <c:pt idx="22">
                  <c:v>0.684670543211604</c:v>
                </c:pt>
                <c:pt idx="23">
                  <c:v>0.758491886581855</c:v>
                </c:pt>
                <c:pt idx="24">
                  <c:v>0.727230413998473</c:v>
                </c:pt>
              </c:numCache>
            </c:numRef>
          </c:yVal>
          <c:smooth val="0"/>
        </c:ser>
        <c:axId val="68767958"/>
        <c:axId val="57327915"/>
      </c:scatterChart>
      <c:valAx>
        <c:axId val="6876795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7327915"/>
        <c:crosses val="autoZero"/>
        <c:crossBetween val="midCat"/>
      </c:valAx>
      <c:valAx>
        <c:axId val="573279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;[RED]\-0.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876795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716760</xdr:colOff>
      <xdr:row>7</xdr:row>
      <xdr:rowOff>100080</xdr:rowOff>
    </xdr:from>
    <xdr:to>
      <xdr:col>11</xdr:col>
      <xdr:colOff>268560</xdr:colOff>
      <xdr:row>27</xdr:row>
      <xdr:rowOff>84600</xdr:rowOff>
    </xdr:to>
    <xdr:graphicFrame>
      <xdr:nvGraphicFramePr>
        <xdr:cNvPr id="1" name=""/>
        <xdr:cNvGraphicFramePr/>
      </xdr:nvGraphicFramePr>
      <xdr:xfrm>
        <a:off x="5275440" y="1321920"/>
        <a:ext cx="5117400" cy="32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O3" activeCellId="1" sqref="F12:G12 O3"/>
    </sheetView>
  </sheetViews>
  <sheetFormatPr defaultColWidth="10.51953125" defaultRowHeight="15" customHeight="false" zeroHeight="false" outlineLevelRow="0" outlineLevelCol="0"/>
  <cols>
    <col collapsed="false" customWidth="false" hidden="false" outlineLevel="0" max="1" min="1" style="1" width="10.5"/>
    <col collapsed="false" customWidth="true" hidden="false" outlineLevel="0" max="2" min="2" style="1" width="11.99"/>
    <col collapsed="false" customWidth="true" hidden="false" outlineLevel="0" max="3" min="3" style="1" width="16.04"/>
    <col collapsed="false" customWidth="true" hidden="false" outlineLevel="0" max="4" min="4" style="2" width="15.05"/>
    <col collapsed="false" customWidth="true" hidden="false" outlineLevel="0" max="5" min="5" style="2" width="16.53"/>
    <col collapsed="false" customWidth="true" hidden="false" outlineLevel="0" max="6" min="6" style="3" width="12.43"/>
    <col collapsed="false" customWidth="true" hidden="false" outlineLevel="0" max="7" min="7" style="2" width="48.16"/>
    <col collapsed="false" customWidth="true" hidden="false" outlineLevel="0" max="8" min="8" style="4" width="12.43"/>
    <col collapsed="false" customWidth="true" hidden="false" outlineLevel="0" max="9" min="9" style="2" width="25.23"/>
    <col collapsed="false" customWidth="true" hidden="false" outlineLevel="0" max="10" min="10" style="2" width="20.98"/>
    <col collapsed="false" customWidth="true" hidden="false" outlineLevel="0" max="12" min="11" style="2" width="20.38"/>
    <col collapsed="false" customWidth="true" hidden="false" outlineLevel="0" max="14" min="14" style="2" width="15.74"/>
    <col collapsed="false" customWidth="true" hidden="false" outlineLevel="0" max="15" min="15" style="2" width="16.93"/>
    <col collapsed="false" customWidth="true" hidden="false" outlineLevel="0" max="17" min="17" style="2" width="16.93"/>
  </cols>
  <sheetData>
    <row r="1" customFormat="false" ht="28.35" hidden="false" customHeight="false" outlineLevel="0" collapsed="false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/>
      <c r="N1" s="9" t="s">
        <v>12</v>
      </c>
      <c r="O1" s="9" t="s">
        <v>13</v>
      </c>
      <c r="P1" s="9" t="s">
        <v>14</v>
      </c>
      <c r="Q1" s="9" t="s">
        <v>15</v>
      </c>
      <c r="R1" s="6" t="s">
        <v>16</v>
      </c>
    </row>
    <row r="3" customFormat="false" ht="15" hidden="false" customHeight="false" outlineLevel="0" collapsed="false">
      <c r="A3" s="1" t="s">
        <v>17</v>
      </c>
      <c r="B3" s="1" t="s">
        <v>18</v>
      </c>
      <c r="C3" s="1" t="s">
        <v>19</v>
      </c>
      <c r="D3" s="2" t="s">
        <v>20</v>
      </c>
      <c r="E3" s="2" t="s">
        <v>21</v>
      </c>
      <c r="F3" s="3" t="n">
        <v>1</v>
      </c>
      <c r="G3" s="2" t="s">
        <v>22</v>
      </c>
      <c r="H3" s="4" t="n">
        <v>0.2123</v>
      </c>
      <c r="I3" s="2" t="n">
        <v>0.317262292426238</v>
      </c>
      <c r="J3" s="2" t="n">
        <v>0.359976901793645</v>
      </c>
      <c r="K3" s="2" t="n">
        <f aca="false">J3-I3</f>
        <v>0.0427146093674079</v>
      </c>
      <c r="L3" s="2" t="n">
        <v>0.825587383221469</v>
      </c>
      <c r="N3" s="2" t="n">
        <f aca="false">AVERAGE(K3:K8)</f>
        <v>0.0379012701789772</v>
      </c>
      <c r="O3" s="2" t="n">
        <f aca="false">AVERAGE(K3:K133)</f>
        <v>0.0612424616745225</v>
      </c>
      <c r="P3" s="2" t="n">
        <f aca="false">COUNT(K3:K133)</f>
        <v>131</v>
      </c>
      <c r="Q3" s="2" t="n">
        <f aca="false">CORREL(H3:H133,K3:K133)</f>
        <v>0.191632928993632</v>
      </c>
      <c r="R3" s="2" t="n">
        <v>0.0283303403171434</v>
      </c>
    </row>
    <row r="4" customFormat="false" ht="15" hidden="false" customHeight="false" outlineLevel="0" collapsed="false">
      <c r="A4" s="1" t="s">
        <v>17</v>
      </c>
      <c r="B4" s="1" t="s">
        <v>18</v>
      </c>
      <c r="C4" s="1" t="s">
        <v>19</v>
      </c>
      <c r="D4" s="2" t="s">
        <v>20</v>
      </c>
      <c r="E4" s="2" t="s">
        <v>21</v>
      </c>
      <c r="F4" s="3" t="n">
        <v>1</v>
      </c>
      <c r="G4" s="2" t="s">
        <v>23</v>
      </c>
      <c r="H4" s="4" t="n">
        <v>0.1805</v>
      </c>
      <c r="I4" s="2" t="n">
        <v>0.269645434711299</v>
      </c>
      <c r="J4" s="2" t="n">
        <v>0.31935940469081</v>
      </c>
      <c r="K4" s="2" t="n">
        <f aca="false">J4-I4</f>
        <v>0.0497139699795115</v>
      </c>
      <c r="L4" s="2" t="n">
        <v>0.825587383221469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s">
        <v>19</v>
      </c>
      <c r="D5" s="2" t="s">
        <v>20</v>
      </c>
      <c r="E5" s="2" t="s">
        <v>21</v>
      </c>
      <c r="F5" s="3" t="n">
        <v>1</v>
      </c>
      <c r="G5" s="2" t="s">
        <v>24</v>
      </c>
      <c r="H5" s="4" t="n">
        <v>0.1704</v>
      </c>
      <c r="I5" s="2" t="n">
        <v>0.254640370129609</v>
      </c>
      <c r="J5" s="2" t="n">
        <v>0.294047590718346</v>
      </c>
      <c r="K5" s="2" t="n">
        <f aca="false">J5-I5</f>
        <v>0.039407220588737</v>
      </c>
      <c r="L5" s="2" t="n">
        <v>0.825587383221469</v>
      </c>
    </row>
    <row r="6" customFormat="false" ht="15" hidden="false" customHeight="false" outlineLevel="0" collapsed="false">
      <c r="A6" s="1" t="s">
        <v>17</v>
      </c>
      <c r="B6" s="1" t="s">
        <v>18</v>
      </c>
      <c r="C6" s="1" t="s">
        <v>19</v>
      </c>
      <c r="D6" s="2" t="s">
        <v>20</v>
      </c>
      <c r="E6" s="2" t="s">
        <v>21</v>
      </c>
      <c r="F6" s="3" t="n">
        <v>1</v>
      </c>
      <c r="G6" s="2" t="s">
        <v>25</v>
      </c>
      <c r="H6" s="4" t="n">
        <v>0.1692</v>
      </c>
      <c r="I6" s="2" t="n">
        <v>0.252858999838846</v>
      </c>
      <c r="J6" s="2" t="n">
        <v>0.27328845595101</v>
      </c>
      <c r="K6" s="2" t="n">
        <f aca="false">J6-I6</f>
        <v>0.0204294561121638</v>
      </c>
      <c r="L6" s="2" t="n">
        <v>0.825587383221469</v>
      </c>
    </row>
    <row r="7" customFormat="false" ht="15" hidden="false" customHeight="false" outlineLevel="0" collapsed="false">
      <c r="A7" s="1" t="s">
        <v>17</v>
      </c>
      <c r="B7" s="1" t="s">
        <v>18</v>
      </c>
      <c r="C7" s="1" t="s">
        <v>19</v>
      </c>
      <c r="D7" s="2" t="s">
        <v>20</v>
      </c>
      <c r="E7" s="2" t="s">
        <v>21</v>
      </c>
      <c r="F7" s="3" t="n">
        <v>1</v>
      </c>
      <c r="G7" s="2" t="s">
        <v>26</v>
      </c>
      <c r="H7" s="4" t="n">
        <v>0.1675</v>
      </c>
      <c r="I7" s="2" t="n">
        <v>0.250256360402544</v>
      </c>
      <c r="J7" s="2" t="n">
        <v>0.264827098129328</v>
      </c>
      <c r="K7" s="2" t="n">
        <f aca="false">J7-I7</f>
        <v>0.0145707377267839</v>
      </c>
      <c r="L7" s="2" t="n">
        <v>0.825587383221469</v>
      </c>
    </row>
    <row r="8" customFormat="false" ht="15" hidden="false" customHeight="false" outlineLevel="0" collapsed="false">
      <c r="A8" s="1" t="s">
        <v>17</v>
      </c>
      <c r="B8" s="1" t="s">
        <v>18</v>
      </c>
      <c r="C8" s="1" t="s">
        <v>19</v>
      </c>
      <c r="D8" s="2" t="s">
        <v>20</v>
      </c>
      <c r="E8" s="2" t="s">
        <v>21</v>
      </c>
      <c r="F8" s="3" t="n">
        <v>1</v>
      </c>
      <c r="G8" s="2" t="s">
        <v>27</v>
      </c>
      <c r="H8" s="4" t="n">
        <v>0.1</v>
      </c>
      <c r="I8" s="2" t="n">
        <v>0.139856956627091</v>
      </c>
      <c r="J8" s="2" t="n">
        <v>0.20042858392635</v>
      </c>
      <c r="K8" s="2" t="n">
        <f aca="false">J8-I8</f>
        <v>0.0605716272992591</v>
      </c>
      <c r="L8" s="2" t="n">
        <v>0.825587383221469</v>
      </c>
    </row>
    <row r="9" customFormat="false" ht="15" hidden="false" customHeight="false" outlineLevel="0" collapsed="false">
      <c r="A9" s="1" t="s">
        <v>28</v>
      </c>
      <c r="B9" s="1" t="s">
        <v>29</v>
      </c>
      <c r="C9" s="1" t="s">
        <v>30</v>
      </c>
      <c r="D9" s="2" t="s">
        <v>20</v>
      </c>
      <c r="E9" s="2" t="s">
        <v>21</v>
      </c>
      <c r="F9" s="3" t="n">
        <v>4</v>
      </c>
      <c r="G9" s="2" t="s">
        <v>22</v>
      </c>
      <c r="H9" s="4" t="n">
        <v>0.2243</v>
      </c>
      <c r="I9" s="2" t="n">
        <v>0.298894891910846</v>
      </c>
      <c r="J9" s="2" t="n">
        <v>0.388421576958455</v>
      </c>
      <c r="K9" s="2" t="n">
        <f aca="false">J9-I9</f>
        <v>0.0895266850476086</v>
      </c>
      <c r="L9" s="2" t="n">
        <v>0.784325401049142</v>
      </c>
      <c r="N9" s="2" t="n">
        <f aca="false">AVERAGE(K9:K14)</f>
        <v>0.101351662352213</v>
      </c>
    </row>
    <row r="10" customFormat="false" ht="15" hidden="false" customHeight="false" outlineLevel="0" collapsed="false">
      <c r="A10" s="1" t="s">
        <v>28</v>
      </c>
      <c r="B10" s="1" t="s">
        <v>29</v>
      </c>
      <c r="C10" s="1" t="s">
        <v>30</v>
      </c>
      <c r="D10" s="2" t="s">
        <v>20</v>
      </c>
      <c r="E10" s="2" t="s">
        <v>21</v>
      </c>
      <c r="F10" s="3" t="n">
        <v>4</v>
      </c>
      <c r="G10" s="2" t="s">
        <v>23</v>
      </c>
      <c r="H10" s="4" t="n">
        <v>0.1897</v>
      </c>
      <c r="I10" s="2" t="n">
        <v>0.252724240761837</v>
      </c>
      <c r="J10" s="2" t="n">
        <v>0.336553401517637</v>
      </c>
      <c r="K10" s="2" t="n">
        <f aca="false">J10-I10</f>
        <v>0.0838291607558001</v>
      </c>
      <c r="L10" s="2" t="n">
        <v>0.784325401049142</v>
      </c>
    </row>
    <row r="11" customFormat="false" ht="15" hidden="false" customHeight="false" outlineLevel="0" collapsed="false">
      <c r="A11" s="1" t="s">
        <v>28</v>
      </c>
      <c r="B11" s="1" t="s">
        <v>29</v>
      </c>
      <c r="C11" s="1" t="s">
        <v>30</v>
      </c>
      <c r="D11" s="2" t="s">
        <v>20</v>
      </c>
      <c r="E11" s="2" t="s">
        <v>21</v>
      </c>
      <c r="F11" s="3" t="n">
        <v>4</v>
      </c>
      <c r="G11" s="2" t="s">
        <v>24</v>
      </c>
      <c r="H11" s="4" t="n">
        <v>0.1724</v>
      </c>
      <c r="I11" s="2" t="n">
        <v>0.229650341166586</v>
      </c>
      <c r="J11" s="2" t="n">
        <v>0.357225936979907</v>
      </c>
      <c r="K11" s="2" t="n">
        <f aca="false">J11-I11</f>
        <v>0.127575595813321</v>
      </c>
      <c r="L11" s="2" t="n">
        <v>0.784325401049142</v>
      </c>
    </row>
    <row r="12" customFormat="false" ht="15" hidden="false" customHeight="false" outlineLevel="0" collapsed="false">
      <c r="A12" s="1" t="s">
        <v>28</v>
      </c>
      <c r="B12" s="1" t="s">
        <v>29</v>
      </c>
      <c r="C12" s="1" t="s">
        <v>30</v>
      </c>
      <c r="D12" s="2" t="s">
        <v>20</v>
      </c>
      <c r="E12" s="2" t="s">
        <v>21</v>
      </c>
      <c r="F12" s="3" t="n">
        <v>4</v>
      </c>
      <c r="G12" s="2" t="s">
        <v>26</v>
      </c>
      <c r="H12" s="4" t="n">
        <v>0.1572</v>
      </c>
      <c r="I12" s="2" t="n">
        <v>0.209456978255902</v>
      </c>
      <c r="J12" s="2" t="n">
        <v>0.299059799091785</v>
      </c>
      <c r="K12" s="2" t="n">
        <f aca="false">J12-I12</f>
        <v>0.089602820835883</v>
      </c>
      <c r="L12" s="2" t="n">
        <v>0.784325401049142</v>
      </c>
    </row>
    <row r="13" customFormat="false" ht="15" hidden="false" customHeight="false" outlineLevel="0" collapsed="false">
      <c r="A13" s="1" t="s">
        <v>28</v>
      </c>
      <c r="B13" s="1" t="s">
        <v>29</v>
      </c>
      <c r="C13" s="1" t="s">
        <v>30</v>
      </c>
      <c r="D13" s="2" t="s">
        <v>20</v>
      </c>
      <c r="E13" s="2" t="s">
        <v>21</v>
      </c>
      <c r="F13" s="3" t="n">
        <v>4</v>
      </c>
      <c r="G13" s="2" t="s">
        <v>25</v>
      </c>
      <c r="H13" s="4" t="n">
        <v>0.1564</v>
      </c>
      <c r="I13" s="2" t="n">
        <v>0.208335470009893</v>
      </c>
      <c r="J13" s="2" t="n">
        <v>0.299994952756438</v>
      </c>
      <c r="K13" s="2" t="n">
        <f aca="false">J13-I13</f>
        <v>0.0916594827465447</v>
      </c>
      <c r="L13" s="2" t="n">
        <v>0.784325401049142</v>
      </c>
    </row>
    <row r="14" customFormat="false" ht="15" hidden="false" customHeight="false" outlineLevel="0" collapsed="false">
      <c r="A14" s="1" t="s">
        <v>28</v>
      </c>
      <c r="B14" s="1" t="s">
        <v>29</v>
      </c>
      <c r="C14" s="1" t="s">
        <v>30</v>
      </c>
      <c r="D14" s="2" t="s">
        <v>20</v>
      </c>
      <c r="E14" s="2" t="s">
        <v>21</v>
      </c>
      <c r="F14" s="3" t="n">
        <v>4</v>
      </c>
      <c r="G14" s="2" t="s">
        <v>27</v>
      </c>
      <c r="H14" s="4" t="n">
        <v>0.1</v>
      </c>
      <c r="I14" s="2" t="n">
        <v>0.13896738165588</v>
      </c>
      <c r="J14" s="2" t="n">
        <v>0.264883610570001</v>
      </c>
      <c r="K14" s="2" t="n">
        <f aca="false">J14-I14</f>
        <v>0.125916228914121</v>
      </c>
      <c r="L14" s="2" t="n">
        <v>0.784325401049142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1" t="s">
        <v>33</v>
      </c>
      <c r="D15" s="2" t="s">
        <v>20</v>
      </c>
      <c r="E15" s="2" t="s">
        <v>21</v>
      </c>
      <c r="F15" s="3" t="n">
        <v>6</v>
      </c>
      <c r="G15" s="2" t="s">
        <v>22</v>
      </c>
      <c r="H15" s="4" t="n">
        <v>0.2133</v>
      </c>
      <c r="I15" s="2" t="n">
        <v>0.346291676264043</v>
      </c>
      <c r="J15" s="2" t="n">
        <v>0.383602936307219</v>
      </c>
      <c r="K15" s="2" t="n">
        <f aca="false">J15-I15</f>
        <v>0.0373112600431764</v>
      </c>
      <c r="L15" s="2" t="n">
        <v>0.74701543366489</v>
      </c>
      <c r="N15" s="2" t="n">
        <f aca="false">AVERAGE(K15:K20)</f>
        <v>0.0485690188800918</v>
      </c>
    </row>
    <row r="16" customFormat="false" ht="15" hidden="false" customHeight="false" outlineLevel="0" collapsed="false">
      <c r="A16" s="1" t="s">
        <v>31</v>
      </c>
      <c r="B16" s="1" t="s">
        <v>32</v>
      </c>
      <c r="C16" s="1" t="s">
        <v>33</v>
      </c>
      <c r="D16" s="2" t="s">
        <v>20</v>
      </c>
      <c r="E16" s="2" t="s">
        <v>21</v>
      </c>
      <c r="F16" s="3" t="n">
        <v>6</v>
      </c>
      <c r="G16" s="2" t="s">
        <v>23</v>
      </c>
      <c r="H16" s="4" t="n">
        <v>0.1959</v>
      </c>
      <c r="I16" s="2" t="n">
        <v>0.317978869377529</v>
      </c>
      <c r="J16" s="2" t="n">
        <v>0.380901092644808</v>
      </c>
      <c r="K16" s="2" t="n">
        <f aca="false">J16-I16</f>
        <v>0.0629222232672789</v>
      </c>
      <c r="L16" s="2" t="n">
        <v>0.74701543366489</v>
      </c>
    </row>
    <row r="17" customFormat="false" ht="15" hidden="false" customHeight="false" outlineLevel="0" collapsed="false">
      <c r="A17" s="1" t="s">
        <v>31</v>
      </c>
      <c r="B17" s="1" t="s">
        <v>32</v>
      </c>
      <c r="C17" s="1" t="s">
        <v>33</v>
      </c>
      <c r="D17" s="2" t="s">
        <v>20</v>
      </c>
      <c r="E17" s="2" t="s">
        <v>21</v>
      </c>
      <c r="F17" s="3" t="n">
        <v>6</v>
      </c>
      <c r="G17" s="2" t="s">
        <v>24</v>
      </c>
      <c r="H17" s="4" t="n">
        <v>0.1737</v>
      </c>
      <c r="I17" s="2" t="n">
        <v>0.281981285767698</v>
      </c>
      <c r="J17" s="2" t="n">
        <v>0.32209441201211</v>
      </c>
      <c r="K17" s="2" t="n">
        <f aca="false">J17-I17</f>
        <v>0.0401131262444118</v>
      </c>
      <c r="L17" s="2" t="n">
        <v>0.74701543366489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2" t="s">
        <v>20</v>
      </c>
      <c r="E18" s="2" t="s">
        <v>21</v>
      </c>
      <c r="F18" s="3" t="n">
        <v>6</v>
      </c>
      <c r="G18" s="2" t="s">
        <v>25</v>
      </c>
      <c r="H18" s="4" t="n">
        <v>0.1637</v>
      </c>
      <c r="I18" s="2" t="n">
        <v>0.265776261874103</v>
      </c>
      <c r="J18" s="2" t="n">
        <v>0.323561871498234</v>
      </c>
      <c r="K18" s="2" t="n">
        <f aca="false">J18-I18</f>
        <v>0.057785609624131</v>
      </c>
      <c r="L18" s="2" t="n">
        <v>0.74701543366489</v>
      </c>
    </row>
    <row r="19" customFormat="false" ht="15" hidden="false" customHeight="false" outlineLevel="0" collapsed="false">
      <c r="A19" s="1" t="s">
        <v>31</v>
      </c>
      <c r="B19" s="1" t="s">
        <v>32</v>
      </c>
      <c r="C19" s="1" t="s">
        <v>33</v>
      </c>
      <c r="D19" s="2" t="s">
        <v>20</v>
      </c>
      <c r="E19" s="2" t="s">
        <v>21</v>
      </c>
      <c r="F19" s="3" t="n">
        <v>6</v>
      </c>
      <c r="G19" s="2" t="s">
        <v>26</v>
      </c>
      <c r="H19" s="4" t="n">
        <v>0.1534</v>
      </c>
      <c r="I19" s="2" t="n">
        <v>0.249112857418904</v>
      </c>
      <c r="J19" s="2" t="n">
        <v>0.280621414335923</v>
      </c>
      <c r="K19" s="2" t="n">
        <f aca="false">J19-I19</f>
        <v>0.0315085569170195</v>
      </c>
      <c r="L19" s="2" t="n">
        <v>0.74701543366489</v>
      </c>
    </row>
    <row r="20" customFormat="false" ht="15" hidden="false" customHeight="false" outlineLevel="0" collapsed="false">
      <c r="A20" s="1" t="s">
        <v>31</v>
      </c>
      <c r="B20" s="1" t="s">
        <v>32</v>
      </c>
      <c r="C20" s="1" t="s">
        <v>33</v>
      </c>
      <c r="D20" s="2" t="s">
        <v>20</v>
      </c>
      <c r="E20" s="2" t="s">
        <v>21</v>
      </c>
      <c r="F20" s="3" t="n">
        <v>6</v>
      </c>
      <c r="G20" s="2" t="s">
        <v>27</v>
      </c>
      <c r="H20" s="4" t="n">
        <v>0.1</v>
      </c>
      <c r="I20" s="2" t="n">
        <v>0.169487950942713</v>
      </c>
      <c r="J20" s="2" t="n">
        <v>0.231261288127247</v>
      </c>
      <c r="K20" s="2" t="n">
        <f aca="false">J20-I20</f>
        <v>0.0617733371845333</v>
      </c>
      <c r="L20" s="2" t="n">
        <v>0.74701543366489</v>
      </c>
    </row>
    <row r="21" customFormat="false" ht="15" hidden="false" customHeight="false" outlineLevel="0" collapsed="false">
      <c r="A21" s="1" t="s">
        <v>34</v>
      </c>
      <c r="B21" s="1" t="s">
        <v>35</v>
      </c>
      <c r="C21" s="1" t="s">
        <v>36</v>
      </c>
      <c r="D21" s="2" t="s">
        <v>20</v>
      </c>
      <c r="E21" s="2" t="s">
        <v>21</v>
      </c>
      <c r="F21" s="3" t="n">
        <v>8</v>
      </c>
      <c r="G21" s="2" t="s">
        <v>22</v>
      </c>
      <c r="H21" s="4" t="n">
        <v>0.2212</v>
      </c>
      <c r="I21" s="2" t="n">
        <v>0.340355076652154</v>
      </c>
      <c r="J21" s="2" t="n">
        <v>0.363264524977143</v>
      </c>
      <c r="K21" s="2" t="n">
        <f aca="false">J21-I21</f>
        <v>0.0229094483249881</v>
      </c>
      <c r="L21" s="2" t="n">
        <v>0.742572987280356</v>
      </c>
      <c r="N21" s="2" t="n">
        <f aca="false">AVERAGE(K21:K26)</f>
        <v>0.0550587134003557</v>
      </c>
    </row>
    <row r="22" customFormat="false" ht="15" hidden="false" customHeight="false" outlineLevel="0" collapsed="false">
      <c r="A22" s="1" t="s">
        <v>34</v>
      </c>
      <c r="B22" s="1" t="s">
        <v>35</v>
      </c>
      <c r="C22" s="1" t="s">
        <v>36</v>
      </c>
      <c r="D22" s="2" t="s">
        <v>20</v>
      </c>
      <c r="E22" s="2" t="s">
        <v>21</v>
      </c>
      <c r="F22" s="3" t="n">
        <v>8</v>
      </c>
      <c r="G22" s="2" t="s">
        <v>23</v>
      </c>
      <c r="H22" s="4" t="n">
        <v>0.2036</v>
      </c>
      <c r="I22" s="2" t="n">
        <v>0.313255469337957</v>
      </c>
      <c r="J22" s="2" t="n">
        <v>0.336013359857097</v>
      </c>
      <c r="K22" s="2" t="n">
        <f aca="false">J22-I22</f>
        <v>0.0227578905191399</v>
      </c>
      <c r="L22" s="2" t="n">
        <v>0.742572987280356</v>
      </c>
    </row>
    <row r="23" customFormat="false" ht="15" hidden="false" customHeight="false" outlineLevel="0" collapsed="false">
      <c r="A23" s="1" t="s">
        <v>34</v>
      </c>
      <c r="B23" s="1" t="s">
        <v>35</v>
      </c>
      <c r="C23" s="1" t="s">
        <v>36</v>
      </c>
      <c r="D23" s="2" t="s">
        <v>20</v>
      </c>
      <c r="E23" s="2" t="s">
        <v>21</v>
      </c>
      <c r="F23" s="3" t="n">
        <v>8</v>
      </c>
      <c r="G23" s="2" t="s">
        <v>25</v>
      </c>
      <c r="H23" s="4" t="n">
        <v>0.1644</v>
      </c>
      <c r="I23" s="2" t="n">
        <v>0.253023007493383</v>
      </c>
      <c r="J23" s="2" t="n">
        <v>0.277592035385808</v>
      </c>
      <c r="K23" s="2" t="n">
        <f aca="false">J23-I23</f>
        <v>0.024569027892425</v>
      </c>
      <c r="L23" s="2" t="n">
        <v>0.742572987280356</v>
      </c>
    </row>
    <row r="24" customFormat="false" ht="15" hidden="false" customHeight="false" outlineLevel="0" collapsed="false">
      <c r="A24" s="1" t="s">
        <v>34</v>
      </c>
      <c r="B24" s="1" t="s">
        <v>35</v>
      </c>
      <c r="C24" s="1" t="s">
        <v>36</v>
      </c>
      <c r="D24" s="2" t="s">
        <v>20</v>
      </c>
      <c r="E24" s="2" t="s">
        <v>21</v>
      </c>
      <c r="F24" s="3" t="n">
        <v>8</v>
      </c>
      <c r="G24" s="2" t="s">
        <v>24</v>
      </c>
      <c r="H24" s="4" t="n">
        <v>0.1562</v>
      </c>
      <c r="I24" s="2" t="n">
        <v>0.24042282607207</v>
      </c>
      <c r="J24" s="2" t="n">
        <v>0.347117103301081</v>
      </c>
      <c r="K24" s="2" t="n">
        <f aca="false">J24-I24</f>
        <v>0.106694277229011</v>
      </c>
      <c r="L24" s="2" t="n">
        <v>0.742572987280356</v>
      </c>
    </row>
    <row r="25" customFormat="false" ht="15" hidden="false" customHeight="false" outlineLevel="0" collapsed="false">
      <c r="A25" s="1" t="s">
        <v>34</v>
      </c>
      <c r="B25" s="1" t="s">
        <v>35</v>
      </c>
      <c r="C25" s="1" t="s">
        <v>36</v>
      </c>
      <c r="D25" s="2" t="s">
        <v>20</v>
      </c>
      <c r="E25" s="2" t="s">
        <v>21</v>
      </c>
      <c r="F25" s="3" t="n">
        <v>8</v>
      </c>
      <c r="G25" s="2" t="s">
        <v>26</v>
      </c>
      <c r="H25" s="4" t="n">
        <v>0.1546</v>
      </c>
      <c r="I25" s="2" t="n">
        <v>0.237921663395499</v>
      </c>
      <c r="J25" s="2" t="n">
        <v>0.297103097428856</v>
      </c>
      <c r="K25" s="2" t="n">
        <f aca="false">J25-I25</f>
        <v>0.0591814340333562</v>
      </c>
      <c r="L25" s="2" t="n">
        <v>0.742572987280356</v>
      </c>
    </row>
    <row r="26" customFormat="false" ht="15" hidden="false" customHeight="false" outlineLevel="0" collapsed="false">
      <c r="A26" s="1" t="s">
        <v>34</v>
      </c>
      <c r="B26" s="1" t="s">
        <v>35</v>
      </c>
      <c r="C26" s="1" t="s">
        <v>36</v>
      </c>
      <c r="D26" s="2" t="s">
        <v>20</v>
      </c>
      <c r="E26" s="2" t="s">
        <v>21</v>
      </c>
      <c r="F26" s="3" t="n">
        <v>8</v>
      </c>
      <c r="G26" s="2" t="s">
        <v>27</v>
      </c>
      <c r="H26" s="4" t="n">
        <v>0.1</v>
      </c>
      <c r="I26" s="2" t="n">
        <v>0.181714930542475</v>
      </c>
      <c r="J26" s="2" t="n">
        <v>0.275955132945689</v>
      </c>
      <c r="K26" s="2" t="n">
        <f aca="false">J26-I26</f>
        <v>0.0942402024032141</v>
      </c>
      <c r="L26" s="2" t="n">
        <v>0.742572987280356</v>
      </c>
    </row>
    <row r="27" customFormat="false" ht="15" hidden="false" customHeight="false" outlineLevel="0" collapsed="false">
      <c r="A27" s="1" t="s">
        <v>37</v>
      </c>
      <c r="B27" s="1" t="s">
        <v>38</v>
      </c>
      <c r="C27" s="1" t="s">
        <v>39</v>
      </c>
      <c r="D27" s="2" t="s">
        <v>20</v>
      </c>
      <c r="E27" s="2" t="s">
        <v>21</v>
      </c>
      <c r="F27" s="3" t="n">
        <v>10</v>
      </c>
      <c r="G27" s="2" t="s">
        <v>22</v>
      </c>
      <c r="H27" s="4" t="n">
        <v>0.2187</v>
      </c>
      <c r="I27" s="2" t="n">
        <v>0.3464971784653</v>
      </c>
      <c r="J27" s="2" t="n">
        <v>0.410057987855602</v>
      </c>
      <c r="K27" s="2" t="n">
        <f aca="false">J27-I27</f>
        <v>0.0635608093903016</v>
      </c>
      <c r="L27" s="2" t="n">
        <v>0.638291604257815</v>
      </c>
      <c r="N27" s="2" t="n">
        <f aca="false">AVERAGE(K27:K32)</f>
        <v>0.0540609021818939</v>
      </c>
    </row>
    <row r="28" customFormat="false" ht="15" hidden="false" customHeight="false" outlineLevel="0" collapsed="false">
      <c r="A28" s="1" t="s">
        <v>37</v>
      </c>
      <c r="B28" s="1" t="s">
        <v>38</v>
      </c>
      <c r="C28" s="1" t="s">
        <v>39</v>
      </c>
      <c r="D28" s="2" t="s">
        <v>20</v>
      </c>
      <c r="E28" s="2" t="s">
        <v>21</v>
      </c>
      <c r="F28" s="3" t="n">
        <v>10</v>
      </c>
      <c r="G28" s="2" t="s">
        <v>23</v>
      </c>
      <c r="H28" s="4" t="n">
        <v>0.1899</v>
      </c>
      <c r="I28" s="2" t="n">
        <v>0.300919576251195</v>
      </c>
      <c r="J28" s="2" t="n">
        <v>0.348906030928749</v>
      </c>
      <c r="K28" s="2" t="n">
        <f aca="false">J28-I28</f>
        <v>0.0479864546775544</v>
      </c>
      <c r="L28" s="2" t="n">
        <v>0.638291604257815</v>
      </c>
    </row>
    <row r="29" customFormat="false" ht="15" hidden="false" customHeight="false" outlineLevel="0" collapsed="false">
      <c r="A29" s="1" t="s">
        <v>37</v>
      </c>
      <c r="B29" s="1" t="s">
        <v>38</v>
      </c>
      <c r="C29" s="1" t="s">
        <v>39</v>
      </c>
      <c r="D29" s="2" t="s">
        <v>20</v>
      </c>
      <c r="E29" s="2" t="s">
        <v>21</v>
      </c>
      <c r="F29" s="3" t="n">
        <v>10</v>
      </c>
      <c r="G29" s="2" t="s">
        <v>24</v>
      </c>
      <c r="H29" s="4" t="n">
        <v>0.1719</v>
      </c>
      <c r="I29" s="2" t="n">
        <v>0.27245447046405</v>
      </c>
      <c r="J29" s="2" t="n">
        <v>0.334862674721006</v>
      </c>
      <c r="K29" s="2" t="n">
        <f aca="false">J29-I29</f>
        <v>0.0624082042569561</v>
      </c>
      <c r="L29" s="2" t="n">
        <v>0.638291604257815</v>
      </c>
    </row>
    <row r="30" customFormat="false" ht="15" hidden="false" customHeight="false" outlineLevel="0" collapsed="false">
      <c r="A30" s="1" t="s">
        <v>37</v>
      </c>
      <c r="B30" s="1" t="s">
        <v>38</v>
      </c>
      <c r="C30" s="1" t="s">
        <v>39</v>
      </c>
      <c r="D30" s="2" t="s">
        <v>20</v>
      </c>
      <c r="E30" s="2" t="s">
        <v>21</v>
      </c>
      <c r="F30" s="3" t="n">
        <v>10</v>
      </c>
      <c r="G30" s="2" t="s">
        <v>26</v>
      </c>
      <c r="H30" s="4" t="n">
        <v>0.1627</v>
      </c>
      <c r="I30" s="2" t="n">
        <v>0.257773995884611</v>
      </c>
      <c r="J30" s="2" t="n">
        <v>0.307404421794256</v>
      </c>
      <c r="K30" s="2" t="n">
        <f aca="false">J30-I30</f>
        <v>0.0496304259096449</v>
      </c>
      <c r="L30" s="2" t="n">
        <v>0.638291604257815</v>
      </c>
    </row>
    <row r="31" customFormat="false" ht="15" hidden="false" customHeight="false" outlineLevel="0" collapsed="false">
      <c r="A31" s="1" t="s">
        <v>37</v>
      </c>
      <c r="B31" s="1" t="s">
        <v>38</v>
      </c>
      <c r="C31" s="1" t="s">
        <v>39</v>
      </c>
      <c r="D31" s="2" t="s">
        <v>20</v>
      </c>
      <c r="E31" s="2" t="s">
        <v>21</v>
      </c>
      <c r="F31" s="3" t="n">
        <v>10</v>
      </c>
      <c r="G31" s="2" t="s">
        <v>25</v>
      </c>
      <c r="H31" s="4" t="n">
        <v>0.1569</v>
      </c>
      <c r="I31" s="2" t="n">
        <v>0.24855885681136</v>
      </c>
      <c r="J31" s="2" t="n">
        <v>0.3150013262808</v>
      </c>
      <c r="K31" s="2" t="n">
        <f aca="false">J31-I31</f>
        <v>0.0664424694694403</v>
      </c>
      <c r="L31" s="2" t="n">
        <v>0.638291604257815</v>
      </c>
    </row>
    <row r="32" customFormat="false" ht="15" hidden="false" customHeight="false" outlineLevel="0" collapsed="false">
      <c r="A32" s="1" t="s">
        <v>37</v>
      </c>
      <c r="B32" s="1" t="s">
        <v>38</v>
      </c>
      <c r="C32" s="1" t="s">
        <v>39</v>
      </c>
      <c r="D32" s="2" t="s">
        <v>20</v>
      </c>
      <c r="E32" s="2" t="s">
        <v>21</v>
      </c>
      <c r="F32" s="3" t="n">
        <v>10</v>
      </c>
      <c r="G32" s="2" t="s">
        <v>27</v>
      </c>
      <c r="H32" s="4" t="n">
        <v>0.1</v>
      </c>
      <c r="I32" s="2" t="n">
        <v>0.215528905019706</v>
      </c>
      <c r="J32" s="2" t="n">
        <v>0.249865954407172</v>
      </c>
      <c r="K32" s="2" t="n">
        <f aca="false">J32-I32</f>
        <v>0.0343370493874663</v>
      </c>
      <c r="L32" s="2" t="n">
        <v>0.638291604257815</v>
      </c>
    </row>
    <row r="33" customFormat="false" ht="15" hidden="false" customHeight="false" outlineLevel="0" collapsed="false">
      <c r="A33" s="1" t="s">
        <v>40</v>
      </c>
      <c r="B33" s="1" t="s">
        <v>41</v>
      </c>
      <c r="C33" s="1" t="s">
        <v>42</v>
      </c>
      <c r="D33" s="2" t="s">
        <v>20</v>
      </c>
      <c r="E33" s="2" t="s">
        <v>21</v>
      </c>
      <c r="F33" s="3" t="n">
        <v>12</v>
      </c>
      <c r="G33" s="2" t="s">
        <v>22</v>
      </c>
      <c r="H33" s="4" t="n">
        <v>0.2198</v>
      </c>
      <c r="I33" s="2" t="n">
        <v>0.296506270183776</v>
      </c>
      <c r="J33" s="2" t="n">
        <v>0.372747548108085</v>
      </c>
      <c r="K33" s="2" t="n">
        <f aca="false">J33-I33</f>
        <v>0.0762412779243098</v>
      </c>
      <c r="L33" s="2" t="n">
        <v>0.770021861028678</v>
      </c>
      <c r="N33" s="2" t="n">
        <f aca="false">AVERAGE(K33:K38)</f>
        <v>0.0668612247121203</v>
      </c>
    </row>
    <row r="34" customFormat="false" ht="15" hidden="false" customHeight="false" outlineLevel="0" collapsed="false">
      <c r="A34" s="1" t="s">
        <v>40</v>
      </c>
      <c r="B34" s="1" t="s">
        <v>41</v>
      </c>
      <c r="C34" s="1" t="s">
        <v>42</v>
      </c>
      <c r="D34" s="2" t="s">
        <v>20</v>
      </c>
      <c r="E34" s="2" t="s">
        <v>21</v>
      </c>
      <c r="F34" s="3" t="n">
        <v>12</v>
      </c>
      <c r="G34" s="2" t="s">
        <v>23</v>
      </c>
      <c r="H34" s="4" t="n">
        <v>0.1988</v>
      </c>
      <c r="I34" s="2" t="n">
        <v>0.268161345403671</v>
      </c>
      <c r="J34" s="2" t="n">
        <v>0.314321307834792</v>
      </c>
      <c r="K34" s="2" t="n">
        <f aca="false">J34-I34</f>
        <v>0.0461599624311214</v>
      </c>
      <c r="L34" s="2" t="n">
        <v>0.770021861028678</v>
      </c>
    </row>
    <row r="35" customFormat="false" ht="15" hidden="false" customHeight="false" outlineLevel="0" collapsed="false">
      <c r="A35" s="1" t="s">
        <v>40</v>
      </c>
      <c r="B35" s="1" t="s">
        <v>41</v>
      </c>
      <c r="C35" s="1" t="s">
        <v>42</v>
      </c>
      <c r="D35" s="2" t="s">
        <v>20</v>
      </c>
      <c r="E35" s="2" t="s">
        <v>21</v>
      </c>
      <c r="F35" s="3" t="n">
        <v>12</v>
      </c>
      <c r="G35" s="2" t="s">
        <v>26</v>
      </c>
      <c r="H35" s="4" t="n">
        <v>0.1665</v>
      </c>
      <c r="I35" s="2" t="n">
        <v>0.224554243761018</v>
      </c>
      <c r="J35" s="2" t="n">
        <v>0.280939451567711</v>
      </c>
      <c r="K35" s="2" t="n">
        <f aca="false">J35-I35</f>
        <v>0.0563852078066936</v>
      </c>
      <c r="L35" s="2" t="n">
        <v>0.770021861028678</v>
      </c>
    </row>
    <row r="36" customFormat="false" ht="15" hidden="false" customHeight="false" outlineLevel="0" collapsed="false">
      <c r="A36" s="1" t="s">
        <v>40</v>
      </c>
      <c r="B36" s="1" t="s">
        <v>41</v>
      </c>
      <c r="C36" s="1" t="s">
        <v>42</v>
      </c>
      <c r="D36" s="2" t="s">
        <v>20</v>
      </c>
      <c r="E36" s="2" t="s">
        <v>21</v>
      </c>
      <c r="F36" s="3" t="n">
        <v>12</v>
      </c>
      <c r="G36" s="2" t="s">
        <v>25</v>
      </c>
      <c r="H36" s="4" t="n">
        <v>0.1599</v>
      </c>
      <c r="I36" s="2" t="n">
        <v>0.215755787228661</v>
      </c>
      <c r="J36" s="2" t="n">
        <v>0.293239475590736</v>
      </c>
      <c r="K36" s="2" t="n">
        <f aca="false">J36-I36</f>
        <v>0.0774836883620754</v>
      </c>
      <c r="L36" s="2" t="n">
        <v>0.770021861028678</v>
      </c>
    </row>
    <row r="37" customFormat="false" ht="15" hidden="false" customHeight="false" outlineLevel="0" collapsed="false">
      <c r="A37" s="1" t="s">
        <v>40</v>
      </c>
      <c r="B37" s="1" t="s">
        <v>41</v>
      </c>
      <c r="C37" s="1" t="s">
        <v>42</v>
      </c>
      <c r="D37" s="2" t="s">
        <v>20</v>
      </c>
      <c r="E37" s="2" t="s">
        <v>21</v>
      </c>
      <c r="F37" s="3" t="n">
        <v>12</v>
      </c>
      <c r="G37" s="2" t="s">
        <v>24</v>
      </c>
      <c r="H37" s="4" t="n">
        <v>0.155</v>
      </c>
      <c r="I37" s="2" t="n">
        <v>0.209131737140231</v>
      </c>
      <c r="J37" s="2" t="n">
        <v>0.289988542109645</v>
      </c>
      <c r="K37" s="2" t="n">
        <f aca="false">J37-I37</f>
        <v>0.080856804969414</v>
      </c>
      <c r="L37" s="2" t="n">
        <v>0.770021861028678</v>
      </c>
    </row>
    <row r="38" customFormat="false" ht="15" hidden="false" customHeight="false" outlineLevel="0" collapsed="false">
      <c r="A38" s="1" t="s">
        <v>40</v>
      </c>
      <c r="B38" s="1" t="s">
        <v>41</v>
      </c>
      <c r="C38" s="1" t="s">
        <v>42</v>
      </c>
      <c r="D38" s="2" t="s">
        <v>20</v>
      </c>
      <c r="E38" s="2" t="s">
        <v>21</v>
      </c>
      <c r="F38" s="3" t="n">
        <v>12</v>
      </c>
      <c r="G38" s="2" t="s">
        <v>27</v>
      </c>
      <c r="H38" s="4" t="n">
        <v>0.1</v>
      </c>
      <c r="I38" s="2" t="n">
        <v>0.155189715842933</v>
      </c>
      <c r="J38" s="2" t="n">
        <v>0.219230122622041</v>
      </c>
      <c r="K38" s="2" t="n">
        <f aca="false">J38-I38</f>
        <v>0.0640404067791074</v>
      </c>
      <c r="L38" s="2" t="n">
        <v>0.770021861028678</v>
      </c>
    </row>
    <row r="39" customFormat="false" ht="15" hidden="false" customHeight="false" outlineLevel="0" collapsed="false">
      <c r="A39" s="1" t="s">
        <v>43</v>
      </c>
      <c r="B39" s="1" t="s">
        <v>44</v>
      </c>
      <c r="C39" s="1" t="s">
        <v>45</v>
      </c>
      <c r="D39" s="2" t="s">
        <v>20</v>
      </c>
      <c r="E39" s="2" t="s">
        <v>21</v>
      </c>
      <c r="F39" s="3" t="n">
        <v>14</v>
      </c>
      <c r="G39" s="2" t="s">
        <v>22</v>
      </c>
      <c r="H39" s="4" t="n">
        <v>0.2761</v>
      </c>
      <c r="I39" s="2" t="n">
        <v>0.271990824359589</v>
      </c>
      <c r="J39" s="2" t="n">
        <v>0.374731082976673</v>
      </c>
      <c r="K39" s="2" t="n">
        <f aca="false">J39-I39</f>
        <v>0.102740258617084</v>
      </c>
      <c r="L39" s="2" t="n">
        <v>0.776708177030339</v>
      </c>
      <c r="N39" s="2" t="n">
        <f aca="false">AVERAGE(K39:K43)</f>
        <v>0.0934612421169117</v>
      </c>
    </row>
    <row r="40" customFormat="false" ht="15" hidden="false" customHeight="false" outlineLevel="0" collapsed="false">
      <c r="A40" s="1" t="s">
        <v>43</v>
      </c>
      <c r="B40" s="1" t="s">
        <v>44</v>
      </c>
      <c r="C40" s="1" t="s">
        <v>45</v>
      </c>
      <c r="D40" s="2" t="s">
        <v>20</v>
      </c>
      <c r="E40" s="2" t="s">
        <v>21</v>
      </c>
      <c r="F40" s="3" t="n">
        <v>14</v>
      </c>
      <c r="G40" s="2" t="s">
        <v>26</v>
      </c>
      <c r="H40" s="4" t="n">
        <v>0.2092</v>
      </c>
      <c r="I40" s="2" t="n">
        <v>0.206146866377685</v>
      </c>
      <c r="J40" s="2" t="n">
        <v>0.280864913379598</v>
      </c>
      <c r="K40" s="2" t="n">
        <f aca="false">J40-I40</f>
        <v>0.0747180470019133</v>
      </c>
      <c r="L40" s="2" t="n">
        <v>0.776708177030339</v>
      </c>
    </row>
    <row r="41" customFormat="false" ht="15" hidden="false" customHeight="false" outlineLevel="0" collapsed="false">
      <c r="A41" s="1" t="s">
        <v>43</v>
      </c>
      <c r="B41" s="1" t="s">
        <v>44</v>
      </c>
      <c r="C41" s="1" t="s">
        <v>45</v>
      </c>
      <c r="D41" s="2" t="s">
        <v>20</v>
      </c>
      <c r="E41" s="2" t="s">
        <v>21</v>
      </c>
      <c r="F41" s="3" t="n">
        <v>14</v>
      </c>
      <c r="G41" s="2" t="s">
        <v>23</v>
      </c>
      <c r="H41" s="4" t="n">
        <v>0.2077</v>
      </c>
      <c r="I41" s="2" t="n">
        <v>0.204678426790361</v>
      </c>
      <c r="J41" s="2" t="n">
        <v>0.317141505506429</v>
      </c>
      <c r="K41" s="2" t="n">
        <f aca="false">J41-I41</f>
        <v>0.112463078716068</v>
      </c>
      <c r="L41" s="2" t="n">
        <v>0.776708177030339</v>
      </c>
    </row>
    <row r="42" customFormat="false" ht="15" hidden="false" customHeight="false" outlineLevel="0" collapsed="false">
      <c r="A42" s="1" t="s">
        <v>43</v>
      </c>
      <c r="B42" s="1" t="s">
        <v>44</v>
      </c>
      <c r="C42" s="1" t="s">
        <v>45</v>
      </c>
      <c r="D42" s="2" t="s">
        <v>20</v>
      </c>
      <c r="E42" s="2" t="s">
        <v>21</v>
      </c>
      <c r="F42" s="3" t="n">
        <v>14</v>
      </c>
      <c r="G42" s="2" t="s">
        <v>25</v>
      </c>
      <c r="H42" s="4" t="n">
        <v>0.207</v>
      </c>
      <c r="I42" s="2" t="n">
        <v>0.203906530544041</v>
      </c>
      <c r="J42" s="2" t="n">
        <v>0.272269687302909</v>
      </c>
      <c r="K42" s="2" t="n">
        <f aca="false">J42-I42</f>
        <v>0.0683631567588682</v>
      </c>
      <c r="L42" s="2" t="n">
        <v>0.776708177030339</v>
      </c>
    </row>
    <row r="43" customFormat="false" ht="15" hidden="false" customHeight="false" outlineLevel="0" collapsed="false">
      <c r="A43" s="1" t="s">
        <v>43</v>
      </c>
      <c r="B43" s="1" t="s">
        <v>44</v>
      </c>
      <c r="C43" s="1" t="s">
        <v>45</v>
      </c>
      <c r="D43" s="2" t="s">
        <v>20</v>
      </c>
      <c r="E43" s="2" t="s">
        <v>21</v>
      </c>
      <c r="F43" s="3" t="n">
        <v>14</v>
      </c>
      <c r="G43" s="2" t="s">
        <v>27</v>
      </c>
      <c r="H43" s="4" t="n">
        <v>0.1</v>
      </c>
      <c r="I43" s="2" t="n">
        <v>0.110920089153475</v>
      </c>
      <c r="J43" s="2" t="n">
        <v>0.2199417586441</v>
      </c>
      <c r="K43" s="2" t="n">
        <f aca="false">J43-I43</f>
        <v>0.109021669490625</v>
      </c>
      <c r="L43" s="2" t="n">
        <v>0.776708177030339</v>
      </c>
    </row>
    <row r="44" customFormat="false" ht="15" hidden="false" customHeight="false" outlineLevel="0" collapsed="false">
      <c r="A44" s="1" t="s">
        <v>46</v>
      </c>
      <c r="B44" s="1" t="s">
        <v>47</v>
      </c>
      <c r="C44" s="1" t="s">
        <v>48</v>
      </c>
      <c r="D44" s="2" t="s">
        <v>20</v>
      </c>
      <c r="E44" s="2" t="s">
        <v>21</v>
      </c>
      <c r="F44" s="3" t="n">
        <v>16</v>
      </c>
      <c r="G44" s="2" t="s">
        <v>22</v>
      </c>
      <c r="H44" s="4" t="n">
        <v>0.2056</v>
      </c>
      <c r="I44" s="2" t="n">
        <v>0.321471747911143</v>
      </c>
      <c r="J44" s="2" t="n">
        <v>0.40961531648595</v>
      </c>
      <c r="K44" s="2" t="n">
        <f aca="false">J44-I44</f>
        <v>0.0881435685748064</v>
      </c>
      <c r="L44" s="2" t="n">
        <v>0.766895136055456</v>
      </c>
      <c r="N44" s="2" t="n">
        <f aca="false">AVERAGE(K44:K49)</f>
        <v>0.0650372413114497</v>
      </c>
    </row>
    <row r="45" customFormat="false" ht="15" hidden="false" customHeight="false" outlineLevel="0" collapsed="false">
      <c r="A45" s="1" t="s">
        <v>46</v>
      </c>
      <c r="B45" s="1" t="s">
        <v>47</v>
      </c>
      <c r="C45" s="1" t="s">
        <v>48</v>
      </c>
      <c r="D45" s="2" t="s">
        <v>20</v>
      </c>
      <c r="E45" s="2" t="s">
        <v>21</v>
      </c>
      <c r="F45" s="3" t="n">
        <v>16</v>
      </c>
      <c r="G45" s="2" t="s">
        <v>23</v>
      </c>
      <c r="H45" s="4" t="n">
        <v>0.1967</v>
      </c>
      <c r="I45" s="2" t="n">
        <v>0.307540311673011</v>
      </c>
      <c r="J45" s="2" t="n">
        <v>0.341999876420987</v>
      </c>
      <c r="K45" s="2" t="n">
        <f aca="false">J45-I45</f>
        <v>0.0344595647479765</v>
      </c>
      <c r="L45" s="2" t="n">
        <v>0.766895136055456</v>
      </c>
    </row>
    <row r="46" customFormat="false" ht="15" hidden="false" customHeight="false" outlineLevel="0" collapsed="false">
      <c r="A46" s="1" t="s">
        <v>46</v>
      </c>
      <c r="B46" s="1" t="s">
        <v>47</v>
      </c>
      <c r="C46" s="1" t="s">
        <v>48</v>
      </c>
      <c r="D46" s="2" t="s">
        <v>20</v>
      </c>
      <c r="E46" s="2" t="s">
        <v>21</v>
      </c>
      <c r="F46" s="3" t="n">
        <v>16</v>
      </c>
      <c r="G46" s="2" t="s">
        <v>24</v>
      </c>
      <c r="H46" s="4" t="n">
        <v>0.1764</v>
      </c>
      <c r="I46" s="2" t="n">
        <v>0.275809635652508</v>
      </c>
      <c r="J46" s="2" t="n">
        <v>0.328211714745673</v>
      </c>
      <c r="K46" s="2" t="n">
        <f aca="false">J46-I46</f>
        <v>0.0524020790931651</v>
      </c>
      <c r="L46" s="2" t="n">
        <v>0.766895136055456</v>
      </c>
    </row>
    <row r="47" customFormat="false" ht="15" hidden="false" customHeight="false" outlineLevel="0" collapsed="false">
      <c r="A47" s="1" t="s">
        <v>46</v>
      </c>
      <c r="B47" s="1" t="s">
        <v>47</v>
      </c>
      <c r="C47" s="1" t="s">
        <v>48</v>
      </c>
      <c r="D47" s="2" t="s">
        <v>20</v>
      </c>
      <c r="E47" s="2" t="s">
        <v>21</v>
      </c>
      <c r="F47" s="3" t="n">
        <v>16</v>
      </c>
      <c r="G47" s="2" t="s">
        <v>26</v>
      </c>
      <c r="H47" s="4" t="n">
        <v>0.1687</v>
      </c>
      <c r="I47" s="2" t="n">
        <v>0.263847664611961</v>
      </c>
      <c r="J47" s="2" t="n">
        <v>0.327076671938811</v>
      </c>
      <c r="K47" s="2" t="n">
        <f aca="false">J47-I47</f>
        <v>0.0632290073268495</v>
      </c>
      <c r="L47" s="2" t="n">
        <v>0.766895136055456</v>
      </c>
    </row>
    <row r="48" customFormat="false" ht="15" hidden="false" customHeight="false" outlineLevel="0" collapsed="false">
      <c r="A48" s="1" t="s">
        <v>46</v>
      </c>
      <c r="B48" s="1" t="s">
        <v>47</v>
      </c>
      <c r="C48" s="1" t="s">
        <v>48</v>
      </c>
      <c r="D48" s="2" t="s">
        <v>20</v>
      </c>
      <c r="E48" s="2" t="s">
        <v>21</v>
      </c>
      <c r="F48" s="3" t="n">
        <v>16</v>
      </c>
      <c r="G48" s="2" t="s">
        <v>25</v>
      </c>
      <c r="H48" s="4" t="n">
        <v>0.1527</v>
      </c>
      <c r="I48" s="2" t="n">
        <v>0.23871789401583</v>
      </c>
      <c r="J48" s="2" t="n">
        <v>0.313658226494982</v>
      </c>
      <c r="K48" s="2" t="n">
        <f aca="false">J48-I48</f>
        <v>0.0749403324791523</v>
      </c>
      <c r="L48" s="2" t="n">
        <v>0.766895136055456</v>
      </c>
    </row>
    <row r="49" customFormat="false" ht="15" hidden="false" customHeight="false" outlineLevel="0" collapsed="false">
      <c r="A49" s="1" t="s">
        <v>46</v>
      </c>
      <c r="B49" s="1" t="s">
        <v>47</v>
      </c>
      <c r="C49" s="1" t="s">
        <v>48</v>
      </c>
      <c r="D49" s="2" t="s">
        <v>20</v>
      </c>
      <c r="E49" s="2" t="s">
        <v>21</v>
      </c>
      <c r="F49" s="3" t="n">
        <v>16</v>
      </c>
      <c r="G49" s="2" t="s">
        <v>27</v>
      </c>
      <c r="H49" s="4" t="n">
        <v>0.1</v>
      </c>
      <c r="I49" s="2" t="n">
        <v>0.180786631889472</v>
      </c>
      <c r="J49" s="2" t="n">
        <v>0.25783552753622</v>
      </c>
      <c r="K49" s="2" t="n">
        <f aca="false">J49-I49</f>
        <v>0.0770488956467484</v>
      </c>
      <c r="L49" s="2" t="n">
        <v>0.766895136055456</v>
      </c>
    </row>
    <row r="50" customFormat="false" ht="15" hidden="false" customHeight="false" outlineLevel="0" collapsed="false">
      <c r="A50" s="1" t="s">
        <v>49</v>
      </c>
      <c r="B50" s="1" t="s">
        <v>50</v>
      </c>
      <c r="C50" s="1" t="s">
        <v>51</v>
      </c>
      <c r="D50" s="2" t="s">
        <v>20</v>
      </c>
      <c r="E50" s="2" t="s">
        <v>21</v>
      </c>
      <c r="F50" s="3" t="n">
        <v>18</v>
      </c>
      <c r="G50" s="2" t="s">
        <v>23</v>
      </c>
      <c r="H50" s="4" t="n">
        <v>0.2115</v>
      </c>
      <c r="I50" s="2" t="n">
        <v>0.357224564521053</v>
      </c>
      <c r="J50" s="2" t="n">
        <v>0.344166059090738</v>
      </c>
      <c r="K50" s="2" t="n">
        <f aca="false">J50-I50</f>
        <v>-0.0130585054303146</v>
      </c>
      <c r="L50" s="2" t="n">
        <v>0.726865282761305</v>
      </c>
      <c r="N50" s="6" t="n">
        <f aca="false">AVERAGE(K50:K55)</f>
        <v>0.0315196362256471</v>
      </c>
    </row>
    <row r="51" customFormat="false" ht="15" hidden="false" customHeight="false" outlineLevel="0" collapsed="false">
      <c r="A51" s="1" t="s">
        <v>49</v>
      </c>
      <c r="B51" s="1" t="s">
        <v>50</v>
      </c>
      <c r="C51" s="1" t="s">
        <v>51</v>
      </c>
      <c r="D51" s="2" t="s">
        <v>20</v>
      </c>
      <c r="E51" s="2" t="s">
        <v>21</v>
      </c>
      <c r="F51" s="3" t="n">
        <v>18</v>
      </c>
      <c r="G51" s="2" t="s">
        <v>22</v>
      </c>
      <c r="H51" s="4" t="n">
        <v>0.1993</v>
      </c>
      <c r="I51" s="2" t="n">
        <v>0.336662964365278</v>
      </c>
      <c r="J51" s="2" t="n">
        <v>0.400552503480669</v>
      </c>
      <c r="K51" s="2" t="n">
        <f aca="false">J51-I51</f>
        <v>0.0638895391153916</v>
      </c>
      <c r="L51" s="2" t="n">
        <v>0.726865282761305</v>
      </c>
    </row>
    <row r="52" customFormat="false" ht="15" hidden="false" customHeight="false" outlineLevel="0" collapsed="false">
      <c r="A52" s="1" t="s">
        <v>49</v>
      </c>
      <c r="B52" s="1" t="s">
        <v>50</v>
      </c>
      <c r="C52" s="1" t="s">
        <v>51</v>
      </c>
      <c r="D52" s="2" t="s">
        <v>20</v>
      </c>
      <c r="E52" s="2" t="s">
        <v>21</v>
      </c>
      <c r="F52" s="3" t="n">
        <v>18</v>
      </c>
      <c r="G52" s="2" t="s">
        <v>25</v>
      </c>
      <c r="H52" s="4" t="n">
        <v>0.1697</v>
      </c>
      <c r="I52" s="2" t="n">
        <v>0.286637861780741</v>
      </c>
      <c r="J52" s="2" t="n">
        <v>0.324752873593483</v>
      </c>
      <c r="K52" s="2" t="n">
        <f aca="false">J52-I52</f>
        <v>0.0381150118127416</v>
      </c>
      <c r="L52" s="2" t="n">
        <v>0.726865282761305</v>
      </c>
    </row>
    <row r="53" customFormat="false" ht="15" hidden="false" customHeight="false" outlineLevel="0" collapsed="false">
      <c r="A53" s="1" t="s">
        <v>49</v>
      </c>
      <c r="B53" s="1" t="s">
        <v>50</v>
      </c>
      <c r="C53" s="1" t="s">
        <v>51</v>
      </c>
      <c r="D53" s="2" t="s">
        <v>20</v>
      </c>
      <c r="E53" s="2" t="s">
        <v>21</v>
      </c>
      <c r="F53" s="3" t="n">
        <v>18</v>
      </c>
      <c r="G53" s="2" t="s">
        <v>24</v>
      </c>
      <c r="H53" s="4" t="n">
        <v>0.1684</v>
      </c>
      <c r="I53" s="2" t="n">
        <v>0.284364853591831</v>
      </c>
      <c r="J53" s="2" t="n">
        <v>0.304184967356945</v>
      </c>
      <c r="K53" s="2" t="n">
        <f aca="false">J53-I53</f>
        <v>0.0198201137651141</v>
      </c>
      <c r="L53" s="2" t="n">
        <v>0.726865282761305</v>
      </c>
    </row>
    <row r="54" customFormat="false" ht="15" hidden="false" customHeight="false" outlineLevel="0" collapsed="false">
      <c r="A54" s="1" t="s">
        <v>49</v>
      </c>
      <c r="B54" s="1" t="s">
        <v>50</v>
      </c>
      <c r="C54" s="1" t="s">
        <v>51</v>
      </c>
      <c r="D54" s="2" t="s">
        <v>20</v>
      </c>
      <c r="E54" s="2" t="s">
        <v>21</v>
      </c>
      <c r="F54" s="3" t="n">
        <v>18</v>
      </c>
      <c r="G54" s="2" t="s">
        <v>26</v>
      </c>
      <c r="H54" s="4" t="n">
        <v>0.1512</v>
      </c>
      <c r="I54" s="2" t="n">
        <v>0.255323235357315</v>
      </c>
      <c r="J54" s="2" t="n">
        <v>0.297813059253955</v>
      </c>
      <c r="K54" s="2" t="n">
        <f aca="false">J54-I54</f>
        <v>0.0424898238966401</v>
      </c>
      <c r="L54" s="2" t="n">
        <v>0.726865282761305</v>
      </c>
    </row>
    <row r="55" customFormat="false" ht="15" hidden="false" customHeight="false" outlineLevel="0" collapsed="false">
      <c r="A55" s="1" t="s">
        <v>49</v>
      </c>
      <c r="B55" s="1" t="s">
        <v>50</v>
      </c>
      <c r="C55" s="1" t="s">
        <v>51</v>
      </c>
      <c r="D55" s="2" t="s">
        <v>20</v>
      </c>
      <c r="E55" s="2" t="s">
        <v>21</v>
      </c>
      <c r="F55" s="3" t="n">
        <v>18</v>
      </c>
      <c r="G55" s="2" t="s">
        <v>27</v>
      </c>
      <c r="H55" s="4" t="n">
        <v>0.1</v>
      </c>
      <c r="I55" s="2" t="n">
        <v>0.20426531904765</v>
      </c>
      <c r="J55" s="2" t="n">
        <v>0.24212715324196</v>
      </c>
      <c r="K55" s="2" t="n">
        <f aca="false">J55-I55</f>
        <v>0.0378618341943098</v>
      </c>
      <c r="L55" s="2" t="n">
        <v>0.726865282761305</v>
      </c>
    </row>
    <row r="56" customFormat="false" ht="15" hidden="false" customHeight="false" outlineLevel="0" collapsed="false">
      <c r="A56" s="1" t="s">
        <v>52</v>
      </c>
      <c r="B56" s="1" t="s">
        <v>53</v>
      </c>
      <c r="C56" s="1" t="s">
        <v>54</v>
      </c>
      <c r="D56" s="2" t="s">
        <v>20</v>
      </c>
      <c r="E56" s="2" t="s">
        <v>21</v>
      </c>
      <c r="F56" s="3" t="n">
        <v>20</v>
      </c>
      <c r="G56" s="2" t="s">
        <v>22</v>
      </c>
      <c r="H56" s="4" t="n">
        <v>0.2196</v>
      </c>
      <c r="I56" s="2" t="n">
        <v>0.316389303345933</v>
      </c>
      <c r="J56" s="2" t="n">
        <v>0.369897210350832</v>
      </c>
      <c r="K56" s="2" t="n">
        <f aca="false">J56-I56</f>
        <v>0.0535079070048996</v>
      </c>
      <c r="L56" s="2" t="n">
        <v>0.76670385944117</v>
      </c>
      <c r="N56" s="2" t="n">
        <f aca="false">AVERAGE(K56:K61)</f>
        <v>0.0613606114727261</v>
      </c>
    </row>
    <row r="57" customFormat="false" ht="15" hidden="false" customHeight="false" outlineLevel="0" collapsed="false">
      <c r="A57" s="1" t="s">
        <v>52</v>
      </c>
      <c r="B57" s="1" t="s">
        <v>53</v>
      </c>
      <c r="C57" s="1" t="s">
        <v>54</v>
      </c>
      <c r="D57" s="2" t="s">
        <v>20</v>
      </c>
      <c r="E57" s="2" t="s">
        <v>21</v>
      </c>
      <c r="F57" s="3" t="n">
        <v>20</v>
      </c>
      <c r="G57" s="2" t="s">
        <v>23</v>
      </c>
      <c r="H57" s="4" t="n">
        <v>0.1919</v>
      </c>
      <c r="I57" s="2" t="n">
        <v>0.276489367244519</v>
      </c>
      <c r="J57" s="2" t="n">
        <v>0.33739709294958</v>
      </c>
      <c r="K57" s="2" t="n">
        <f aca="false">J57-I57</f>
        <v>0.060907725705061</v>
      </c>
      <c r="L57" s="2" t="n">
        <v>0.76670385944117</v>
      </c>
    </row>
    <row r="58" customFormat="false" ht="15" hidden="false" customHeight="false" outlineLevel="0" collapsed="false">
      <c r="A58" s="1" t="s">
        <v>52</v>
      </c>
      <c r="B58" s="1" t="s">
        <v>53</v>
      </c>
      <c r="C58" s="1" t="s">
        <v>54</v>
      </c>
      <c r="D58" s="2" t="s">
        <v>20</v>
      </c>
      <c r="E58" s="2" t="s">
        <v>21</v>
      </c>
      <c r="F58" s="3" t="n">
        <v>20</v>
      </c>
      <c r="G58" s="2" t="s">
        <v>25</v>
      </c>
      <c r="H58" s="4" t="n">
        <v>0.1743</v>
      </c>
      <c r="I58" s="2" t="n">
        <v>0.251037032854952</v>
      </c>
      <c r="J58" s="2" t="n">
        <v>0.292012048783584</v>
      </c>
      <c r="K58" s="2" t="n">
        <f aca="false">J58-I58</f>
        <v>0.0409750159286329</v>
      </c>
      <c r="L58" s="2" t="n">
        <v>0.76670385944117</v>
      </c>
    </row>
    <row r="59" customFormat="false" ht="15" hidden="false" customHeight="false" outlineLevel="0" collapsed="false">
      <c r="A59" s="1" t="s">
        <v>52</v>
      </c>
      <c r="B59" s="1" t="s">
        <v>53</v>
      </c>
      <c r="C59" s="1" t="s">
        <v>54</v>
      </c>
      <c r="D59" s="2" t="s">
        <v>20</v>
      </c>
      <c r="E59" s="2" t="s">
        <v>21</v>
      </c>
      <c r="F59" s="3" t="n">
        <v>20</v>
      </c>
      <c r="G59" s="2" t="s">
        <v>24</v>
      </c>
      <c r="H59" s="4" t="n">
        <v>0.1574</v>
      </c>
      <c r="I59" s="2" t="n">
        <v>0.226700024857764</v>
      </c>
      <c r="J59" s="2" t="n">
        <v>0.310836298974203</v>
      </c>
      <c r="K59" s="2" t="n">
        <f aca="false">J59-I59</f>
        <v>0.0841362741164393</v>
      </c>
      <c r="L59" s="2" t="n">
        <v>0.76670385944117</v>
      </c>
    </row>
    <row r="60" customFormat="false" ht="15" hidden="false" customHeight="false" outlineLevel="0" collapsed="false">
      <c r="A60" s="1" t="s">
        <v>52</v>
      </c>
      <c r="B60" s="1" t="s">
        <v>53</v>
      </c>
      <c r="C60" s="1" t="s">
        <v>54</v>
      </c>
      <c r="D60" s="2" t="s">
        <v>20</v>
      </c>
      <c r="E60" s="2" t="s">
        <v>21</v>
      </c>
      <c r="F60" s="3" t="n">
        <v>20</v>
      </c>
      <c r="G60" s="2" t="s">
        <v>26</v>
      </c>
      <c r="H60" s="4" t="n">
        <v>0.1568</v>
      </c>
      <c r="I60" s="2" t="n">
        <v>0.225891390244639</v>
      </c>
      <c r="J60" s="2" t="n">
        <v>0.276008519981207</v>
      </c>
      <c r="K60" s="2" t="n">
        <f aca="false">J60-I60</f>
        <v>0.0501171297365685</v>
      </c>
      <c r="L60" s="2" t="n">
        <v>0.76670385944117</v>
      </c>
    </row>
    <row r="61" customFormat="false" ht="15" hidden="false" customHeight="false" outlineLevel="0" collapsed="false">
      <c r="A61" s="1" t="s">
        <v>52</v>
      </c>
      <c r="B61" s="1" t="s">
        <v>53</v>
      </c>
      <c r="C61" s="1" t="s">
        <v>54</v>
      </c>
      <c r="D61" s="2" t="s">
        <v>20</v>
      </c>
      <c r="E61" s="2" t="s">
        <v>21</v>
      </c>
      <c r="F61" s="3" t="n">
        <v>20</v>
      </c>
      <c r="G61" s="2" t="s">
        <v>27</v>
      </c>
      <c r="H61" s="4" t="n">
        <v>0.1</v>
      </c>
      <c r="I61" s="2" t="n">
        <v>0.152131915519596</v>
      </c>
      <c r="J61" s="2" t="n">
        <v>0.230651531864351</v>
      </c>
      <c r="K61" s="2" t="n">
        <f aca="false">J61-I61</f>
        <v>0.078519616344755</v>
      </c>
      <c r="L61" s="2" t="n">
        <v>0.76670385944117</v>
      </c>
    </row>
    <row r="62" customFormat="false" ht="15" hidden="false" customHeight="false" outlineLevel="0" collapsed="false">
      <c r="A62" s="1" t="s">
        <v>55</v>
      </c>
      <c r="B62" s="1" t="s">
        <v>56</v>
      </c>
      <c r="C62" s="1" t="s">
        <v>57</v>
      </c>
      <c r="D62" s="2" t="s">
        <v>20</v>
      </c>
      <c r="E62" s="2" t="s">
        <v>21</v>
      </c>
      <c r="F62" s="3" t="n">
        <v>22</v>
      </c>
      <c r="G62" s="2" t="s">
        <v>23</v>
      </c>
      <c r="H62" s="4" t="n">
        <v>0.256</v>
      </c>
      <c r="I62" s="2" t="n">
        <v>0.276548644986456</v>
      </c>
      <c r="J62" s="2" t="n">
        <v>0.357136434647071</v>
      </c>
      <c r="K62" s="2" t="n">
        <f aca="false">J62-I62</f>
        <v>0.0805877896606151</v>
      </c>
      <c r="L62" s="2" t="n">
        <v>0.826512142391129</v>
      </c>
      <c r="N62" s="2" t="n">
        <f aca="false">AVERAGE(K62:K66)</f>
        <v>0.0627038264804898</v>
      </c>
    </row>
    <row r="63" customFormat="false" ht="15" hidden="false" customHeight="false" outlineLevel="0" collapsed="false">
      <c r="A63" s="1" t="s">
        <v>55</v>
      </c>
      <c r="B63" s="1" t="s">
        <v>56</v>
      </c>
      <c r="C63" s="1" t="s">
        <v>57</v>
      </c>
      <c r="D63" s="2" t="s">
        <v>20</v>
      </c>
      <c r="E63" s="2" t="s">
        <v>21</v>
      </c>
      <c r="F63" s="3" t="n">
        <v>22</v>
      </c>
      <c r="G63" s="2" t="s">
        <v>22</v>
      </c>
      <c r="H63" s="4" t="n">
        <v>0.2344</v>
      </c>
      <c r="I63" s="2" t="n">
        <v>0.253287792263353</v>
      </c>
      <c r="J63" s="2" t="n">
        <v>0.338068341371635</v>
      </c>
      <c r="K63" s="2" t="n">
        <f aca="false">J63-I63</f>
        <v>0.0847805491082825</v>
      </c>
      <c r="L63" s="2" t="n">
        <v>0.826512142391129</v>
      </c>
    </row>
    <row r="64" customFormat="false" ht="15" hidden="false" customHeight="false" outlineLevel="0" collapsed="false">
      <c r="A64" s="1" t="s">
        <v>55</v>
      </c>
      <c r="B64" s="1" t="s">
        <v>56</v>
      </c>
      <c r="C64" s="1" t="s">
        <v>57</v>
      </c>
      <c r="D64" s="2" t="s">
        <v>20</v>
      </c>
      <c r="E64" s="2" t="s">
        <v>21</v>
      </c>
      <c r="F64" s="3" t="n">
        <v>22</v>
      </c>
      <c r="G64" s="2" t="s">
        <v>24</v>
      </c>
      <c r="H64" s="4" t="n">
        <v>0.2094</v>
      </c>
      <c r="I64" s="2" t="n">
        <v>0.226253682825523</v>
      </c>
      <c r="J64" s="2" t="n">
        <v>0.281651917814001</v>
      </c>
      <c r="K64" s="2" t="n">
        <f aca="false">J64-I64</f>
        <v>0.055398234988478</v>
      </c>
      <c r="L64" s="2" t="n">
        <v>0.826512142391129</v>
      </c>
    </row>
    <row r="65" customFormat="false" ht="15" hidden="false" customHeight="false" outlineLevel="0" collapsed="false">
      <c r="A65" s="1" t="s">
        <v>55</v>
      </c>
      <c r="B65" s="1" t="s">
        <v>56</v>
      </c>
      <c r="C65" s="1" t="s">
        <v>57</v>
      </c>
      <c r="D65" s="2" t="s">
        <v>20</v>
      </c>
      <c r="E65" s="2" t="s">
        <v>21</v>
      </c>
      <c r="F65" s="3" t="n">
        <v>22</v>
      </c>
      <c r="G65" s="2" t="s">
        <v>58</v>
      </c>
      <c r="H65" s="4" t="n">
        <v>0.2002</v>
      </c>
      <c r="I65" s="2" t="n">
        <v>0.216234669038584</v>
      </c>
      <c r="J65" s="2" t="n">
        <v>0.253711526987781</v>
      </c>
      <c r="K65" s="2" t="n">
        <f aca="false">J65-I65</f>
        <v>0.037476857949197</v>
      </c>
      <c r="L65" s="2" t="n">
        <v>0.826512142391129</v>
      </c>
    </row>
    <row r="66" customFormat="false" ht="15" hidden="false" customHeight="false" outlineLevel="0" collapsed="false">
      <c r="A66" s="1" t="s">
        <v>55</v>
      </c>
      <c r="B66" s="1" t="s">
        <v>56</v>
      </c>
      <c r="C66" s="1" t="s">
        <v>57</v>
      </c>
      <c r="D66" s="2" t="s">
        <v>20</v>
      </c>
      <c r="E66" s="2" t="s">
        <v>21</v>
      </c>
      <c r="F66" s="3" t="n">
        <v>22</v>
      </c>
      <c r="G66" s="2" t="s">
        <v>27</v>
      </c>
      <c r="H66" s="4" t="n">
        <v>0.1</v>
      </c>
      <c r="I66" s="2" t="n">
        <v>0.130194960649587</v>
      </c>
      <c r="J66" s="2" t="n">
        <v>0.185470661345463</v>
      </c>
      <c r="K66" s="2" t="n">
        <f aca="false">J66-I66</f>
        <v>0.0552757006958764</v>
      </c>
      <c r="L66" s="2" t="n">
        <v>0.826512142391129</v>
      </c>
    </row>
    <row r="67" customFormat="false" ht="15" hidden="false" customHeight="false" outlineLevel="0" collapsed="false">
      <c r="A67" s="1" t="s">
        <v>59</v>
      </c>
      <c r="B67" s="1" t="s">
        <v>60</v>
      </c>
      <c r="C67" s="1" t="s">
        <v>61</v>
      </c>
      <c r="D67" s="2" t="s">
        <v>20</v>
      </c>
      <c r="E67" s="2" t="s">
        <v>21</v>
      </c>
      <c r="F67" s="3" t="n">
        <v>24</v>
      </c>
      <c r="G67" s="2" t="s">
        <v>23</v>
      </c>
      <c r="H67" s="4" t="n">
        <v>0.3126</v>
      </c>
      <c r="I67" s="2" t="n">
        <v>0.244979239415695</v>
      </c>
      <c r="J67" s="2" t="n">
        <v>0.312343313925925</v>
      </c>
      <c r="K67" s="2" t="n">
        <f aca="false">J67-I67</f>
        <v>0.0673640745102301</v>
      </c>
      <c r="L67" s="2" t="n">
        <v>0.762736139690589</v>
      </c>
      <c r="N67" s="2" t="n">
        <f aca="false">AVERAGE(K67:K70)</f>
        <v>0.125823368973094</v>
      </c>
    </row>
    <row r="68" customFormat="false" ht="15" hidden="false" customHeight="false" outlineLevel="0" collapsed="false">
      <c r="A68" s="1" t="s">
        <v>59</v>
      </c>
      <c r="B68" s="1" t="s">
        <v>60</v>
      </c>
      <c r="C68" s="1" t="s">
        <v>61</v>
      </c>
      <c r="D68" s="2" t="s">
        <v>20</v>
      </c>
      <c r="E68" s="2" t="s">
        <v>21</v>
      </c>
      <c r="F68" s="3" t="n">
        <v>24</v>
      </c>
      <c r="G68" s="2" t="s">
        <v>22</v>
      </c>
      <c r="H68" s="4" t="n">
        <v>0.3027</v>
      </c>
      <c r="I68" s="2" t="n">
        <v>0.237241558017021</v>
      </c>
      <c r="J68" s="2" t="n">
        <v>0.374852581679661</v>
      </c>
      <c r="K68" s="2" t="n">
        <f aca="false">J68-I68</f>
        <v>0.13761102366264</v>
      </c>
      <c r="L68" s="2" t="n">
        <v>0.762736139690589</v>
      </c>
    </row>
    <row r="69" customFormat="false" ht="15" hidden="false" customHeight="false" outlineLevel="0" collapsed="false">
      <c r="A69" s="1" t="s">
        <v>59</v>
      </c>
      <c r="B69" s="1" t="s">
        <v>60</v>
      </c>
      <c r="C69" s="1" t="s">
        <v>61</v>
      </c>
      <c r="D69" s="2" t="s">
        <v>20</v>
      </c>
      <c r="E69" s="2" t="s">
        <v>21</v>
      </c>
      <c r="F69" s="3" t="n">
        <v>24</v>
      </c>
      <c r="G69" s="2" t="s">
        <v>24</v>
      </c>
      <c r="H69" s="4" t="n">
        <v>0.2846</v>
      </c>
      <c r="I69" s="2" t="n">
        <v>0.22306013600129</v>
      </c>
      <c r="J69" s="2" t="n">
        <v>0.376716019210499</v>
      </c>
      <c r="K69" s="2" t="n">
        <f aca="false">J69-I69</f>
        <v>0.153655883209209</v>
      </c>
      <c r="L69" s="2" t="n">
        <v>0.762736139690589</v>
      </c>
    </row>
    <row r="70" customFormat="false" ht="15" hidden="false" customHeight="false" outlineLevel="0" collapsed="false">
      <c r="A70" s="1" t="s">
        <v>59</v>
      </c>
      <c r="B70" s="1" t="s">
        <v>60</v>
      </c>
      <c r="C70" s="1" t="s">
        <v>61</v>
      </c>
      <c r="D70" s="2" t="s">
        <v>20</v>
      </c>
      <c r="E70" s="2" t="s">
        <v>21</v>
      </c>
      <c r="F70" s="3" t="n">
        <v>24</v>
      </c>
      <c r="G70" s="2" t="s">
        <v>27</v>
      </c>
      <c r="H70" s="4" t="n">
        <v>0.1</v>
      </c>
      <c r="I70" s="2" t="n">
        <v>0.0977973580526299</v>
      </c>
      <c r="J70" s="2" t="n">
        <v>0.242459852562926</v>
      </c>
      <c r="K70" s="2" t="n">
        <f aca="false">J70-I70</f>
        <v>0.144662494510296</v>
      </c>
      <c r="L70" s="2" t="n">
        <v>0.762736139690589</v>
      </c>
    </row>
    <row r="71" customFormat="false" ht="15" hidden="false" customHeight="false" outlineLevel="0" collapsed="false">
      <c r="A71" s="1" t="s">
        <v>62</v>
      </c>
      <c r="B71" s="1" t="s">
        <v>63</v>
      </c>
      <c r="C71" s="1" t="s">
        <v>64</v>
      </c>
      <c r="D71" s="2" t="s">
        <v>20</v>
      </c>
      <c r="E71" s="2" t="s">
        <v>21</v>
      </c>
      <c r="F71" s="3" t="n">
        <v>26</v>
      </c>
      <c r="G71" s="2" t="s">
        <v>22</v>
      </c>
      <c r="H71" s="4" t="n">
        <v>0.3377</v>
      </c>
      <c r="I71" s="2" t="n">
        <v>0.258435737792806</v>
      </c>
      <c r="J71" s="2" t="n">
        <v>0.391547934898433</v>
      </c>
      <c r="K71" s="2" t="n">
        <f aca="false">J71-I71</f>
        <v>0.133112197105626</v>
      </c>
      <c r="L71" s="2" t="n">
        <v>0.710160103406143</v>
      </c>
      <c r="N71" s="2" t="n">
        <f aca="false">AVERAGE(K71:K74)</f>
        <v>0.118473256203689</v>
      </c>
    </row>
    <row r="72" customFormat="false" ht="15" hidden="false" customHeight="false" outlineLevel="0" collapsed="false">
      <c r="A72" s="1" t="s">
        <v>62</v>
      </c>
      <c r="B72" s="1" t="s">
        <v>63</v>
      </c>
      <c r="C72" s="1" t="s">
        <v>64</v>
      </c>
      <c r="D72" s="2" t="s">
        <v>20</v>
      </c>
      <c r="E72" s="2" t="s">
        <v>21</v>
      </c>
      <c r="F72" s="3" t="n">
        <v>26</v>
      </c>
      <c r="G72" s="2" t="s">
        <v>24</v>
      </c>
      <c r="H72" s="4" t="n">
        <v>0.2828</v>
      </c>
      <c r="I72" s="2" t="n">
        <v>0.216463721804464</v>
      </c>
      <c r="J72" s="2" t="n">
        <v>0.330844327691771</v>
      </c>
      <c r="K72" s="2" t="n">
        <f aca="false">J72-I72</f>
        <v>0.114380605887306</v>
      </c>
      <c r="L72" s="2" t="n">
        <v>0.710160103406143</v>
      </c>
    </row>
    <row r="73" customFormat="false" ht="15" hidden="false" customHeight="false" outlineLevel="0" collapsed="false">
      <c r="A73" s="1" t="s">
        <v>62</v>
      </c>
      <c r="B73" s="1" t="s">
        <v>63</v>
      </c>
      <c r="C73" s="1" t="s">
        <v>64</v>
      </c>
      <c r="D73" s="2" t="s">
        <v>20</v>
      </c>
      <c r="E73" s="2" t="s">
        <v>21</v>
      </c>
      <c r="F73" s="3" t="n">
        <v>26</v>
      </c>
      <c r="G73" s="2" t="s">
        <v>23</v>
      </c>
      <c r="H73" s="4" t="n">
        <v>0.2795</v>
      </c>
      <c r="I73" s="2" t="n">
        <v>0.213891294430164</v>
      </c>
      <c r="J73" s="2" t="n">
        <v>0.302670010642852</v>
      </c>
      <c r="K73" s="2" t="n">
        <f aca="false">J73-I73</f>
        <v>0.0887787162126879</v>
      </c>
      <c r="L73" s="2" t="n">
        <v>0.710160103406143</v>
      </c>
    </row>
    <row r="74" customFormat="false" ht="15" hidden="false" customHeight="false" outlineLevel="0" collapsed="false">
      <c r="A74" s="1" t="s">
        <v>62</v>
      </c>
      <c r="B74" s="1" t="s">
        <v>63</v>
      </c>
      <c r="C74" s="1" t="s">
        <v>64</v>
      </c>
      <c r="D74" s="2" t="s">
        <v>20</v>
      </c>
      <c r="E74" s="2" t="s">
        <v>21</v>
      </c>
      <c r="F74" s="3" t="n">
        <v>26</v>
      </c>
      <c r="G74" s="2" t="s">
        <v>27</v>
      </c>
      <c r="H74" s="4" t="n">
        <v>0.1</v>
      </c>
      <c r="I74" s="2" t="n">
        <v>0.120032660387271</v>
      </c>
      <c r="J74" s="2" t="n">
        <v>0.257654165996408</v>
      </c>
      <c r="K74" s="2" t="n">
        <f aca="false">J74-I74</f>
        <v>0.137621505609137</v>
      </c>
      <c r="L74" s="2" t="n">
        <v>0.710160103406143</v>
      </c>
    </row>
    <row r="75" customFormat="false" ht="15" hidden="false" customHeight="false" outlineLevel="0" collapsed="false">
      <c r="A75" s="1" t="s">
        <v>65</v>
      </c>
      <c r="B75" s="1" t="s">
        <v>66</v>
      </c>
      <c r="C75" s="1" t="s">
        <v>67</v>
      </c>
      <c r="D75" s="2" t="s">
        <v>20</v>
      </c>
      <c r="E75" s="2" t="s">
        <v>21</v>
      </c>
      <c r="F75" s="3" t="n">
        <v>28</v>
      </c>
      <c r="G75" s="2" t="s">
        <v>22</v>
      </c>
      <c r="H75" s="4" t="n">
        <v>0.2164</v>
      </c>
      <c r="I75" s="2" t="n">
        <v>0.319932344604997</v>
      </c>
      <c r="J75" s="2" t="n">
        <v>0.41771570788262</v>
      </c>
      <c r="K75" s="2" t="n">
        <f aca="false">J75-I75</f>
        <v>0.0977833632776223</v>
      </c>
      <c r="L75" s="2" t="n">
        <v>0.734376384357835</v>
      </c>
      <c r="N75" s="2" t="n">
        <f aca="false">AVERAGE(K75:K80)</f>
        <v>0.0751254125078604</v>
      </c>
    </row>
    <row r="76" customFormat="false" ht="15" hidden="false" customHeight="false" outlineLevel="0" collapsed="false">
      <c r="A76" s="1" t="s">
        <v>65</v>
      </c>
      <c r="B76" s="1" t="s">
        <v>66</v>
      </c>
      <c r="C76" s="1" t="s">
        <v>67</v>
      </c>
      <c r="D76" s="2" t="s">
        <v>20</v>
      </c>
      <c r="E76" s="2" t="s">
        <v>21</v>
      </c>
      <c r="F76" s="3" t="n">
        <v>28</v>
      </c>
      <c r="G76" s="2" t="s">
        <v>23</v>
      </c>
      <c r="H76" s="4" t="n">
        <v>0.1801</v>
      </c>
      <c r="I76" s="2" t="n">
        <v>0.266311178491947</v>
      </c>
      <c r="J76" s="2" t="n">
        <v>0.352754702611514</v>
      </c>
      <c r="K76" s="2" t="n">
        <f aca="false">J76-I76</f>
        <v>0.0864435241195671</v>
      </c>
      <c r="L76" s="2" t="n">
        <v>0.734376384357835</v>
      </c>
    </row>
    <row r="77" customFormat="false" ht="15" hidden="false" customHeight="false" outlineLevel="0" collapsed="false">
      <c r="A77" s="1" t="s">
        <v>65</v>
      </c>
      <c r="B77" s="1" t="s">
        <v>66</v>
      </c>
      <c r="C77" s="1" t="s">
        <v>67</v>
      </c>
      <c r="D77" s="2" t="s">
        <v>20</v>
      </c>
      <c r="E77" s="2" t="s">
        <v>21</v>
      </c>
      <c r="F77" s="3" t="n">
        <v>28</v>
      </c>
      <c r="G77" s="2" t="s">
        <v>24</v>
      </c>
      <c r="H77" s="4" t="n">
        <v>0.1766</v>
      </c>
      <c r="I77" s="2" t="n">
        <v>0.261082465367998</v>
      </c>
      <c r="J77" s="2" t="n">
        <v>0.305236243522908</v>
      </c>
      <c r="K77" s="2" t="n">
        <f aca="false">J77-I77</f>
        <v>0.0441537781549108</v>
      </c>
      <c r="L77" s="2" t="n">
        <v>0.734376384357835</v>
      </c>
    </row>
    <row r="78" customFormat="false" ht="15" hidden="false" customHeight="false" outlineLevel="0" collapsed="false">
      <c r="A78" s="1" t="s">
        <v>65</v>
      </c>
      <c r="B78" s="1" t="s">
        <v>66</v>
      </c>
      <c r="C78" s="1" t="s">
        <v>67</v>
      </c>
      <c r="D78" s="2" t="s">
        <v>20</v>
      </c>
      <c r="E78" s="2" t="s">
        <v>21</v>
      </c>
      <c r="F78" s="3" t="n">
        <v>28</v>
      </c>
      <c r="G78" s="2" t="s">
        <v>25</v>
      </c>
      <c r="H78" s="4" t="n">
        <v>0.1687</v>
      </c>
      <c r="I78" s="2" t="n">
        <v>0.249413339800424</v>
      </c>
      <c r="J78" s="2" t="n">
        <v>0.314419493659478</v>
      </c>
      <c r="K78" s="2" t="n">
        <f aca="false">J78-I78</f>
        <v>0.0650061538590538</v>
      </c>
      <c r="L78" s="2" t="n">
        <v>0.734376384357835</v>
      </c>
    </row>
    <row r="79" customFormat="false" ht="15" hidden="false" customHeight="false" outlineLevel="0" collapsed="false">
      <c r="A79" s="1" t="s">
        <v>65</v>
      </c>
      <c r="B79" s="1" t="s">
        <v>66</v>
      </c>
      <c r="C79" s="1" t="s">
        <v>67</v>
      </c>
      <c r="D79" s="2" t="s">
        <v>20</v>
      </c>
      <c r="E79" s="2" t="s">
        <v>21</v>
      </c>
      <c r="F79" s="3" t="n">
        <v>28</v>
      </c>
      <c r="G79" s="2" t="s">
        <v>26</v>
      </c>
      <c r="H79" s="4" t="n">
        <v>0.1582</v>
      </c>
      <c r="I79" s="2" t="n">
        <v>0.233958923224278</v>
      </c>
      <c r="J79" s="2" t="n">
        <v>0.32962829154358</v>
      </c>
      <c r="K79" s="2" t="n">
        <f aca="false">J79-I79</f>
        <v>0.0956693683193024</v>
      </c>
      <c r="L79" s="2" t="n">
        <v>0.734376384357835</v>
      </c>
    </row>
    <row r="80" customFormat="false" ht="15" hidden="false" customHeight="false" outlineLevel="0" collapsed="false">
      <c r="A80" s="1" t="s">
        <v>65</v>
      </c>
      <c r="B80" s="1" t="s">
        <v>66</v>
      </c>
      <c r="C80" s="1" t="s">
        <v>67</v>
      </c>
      <c r="D80" s="2" t="s">
        <v>20</v>
      </c>
      <c r="E80" s="2" t="s">
        <v>21</v>
      </c>
      <c r="F80" s="3" t="n">
        <v>28</v>
      </c>
      <c r="G80" s="2" t="s">
        <v>27</v>
      </c>
      <c r="H80" s="4" t="n">
        <v>0.1</v>
      </c>
      <c r="I80" s="2" t="n">
        <v>0.170934778173299</v>
      </c>
      <c r="J80" s="2" t="n">
        <v>0.232631065490005</v>
      </c>
      <c r="K80" s="2" t="n">
        <f aca="false">J80-I80</f>
        <v>0.061696287316706</v>
      </c>
      <c r="L80" s="2" t="n">
        <v>0.734376384357835</v>
      </c>
    </row>
    <row r="81" customFormat="false" ht="15" hidden="false" customHeight="false" outlineLevel="0" collapsed="false">
      <c r="A81" s="1" t="s">
        <v>68</v>
      </c>
      <c r="B81" s="1" t="s">
        <v>69</v>
      </c>
      <c r="C81" s="1" t="s">
        <v>70</v>
      </c>
      <c r="D81" s="2" t="s">
        <v>20</v>
      </c>
      <c r="E81" s="2" t="s">
        <v>21</v>
      </c>
      <c r="F81" s="3" t="n">
        <v>30</v>
      </c>
      <c r="G81" s="2" t="s">
        <v>22</v>
      </c>
      <c r="H81" s="4" t="n">
        <v>0.2206</v>
      </c>
      <c r="I81" s="2" t="n">
        <v>0.349130690138958</v>
      </c>
      <c r="J81" s="2" t="n">
        <v>0.390658682908423</v>
      </c>
      <c r="K81" s="2" t="n">
        <f aca="false">J81-I81</f>
        <v>0.0415279927694649</v>
      </c>
      <c r="L81" s="2" t="n">
        <v>0.756542240061655</v>
      </c>
      <c r="N81" s="2" t="n">
        <f aca="false">AVERAGE(K81:K86)</f>
        <v>0.0348392119421119</v>
      </c>
    </row>
    <row r="82" customFormat="false" ht="15" hidden="false" customHeight="false" outlineLevel="0" collapsed="false">
      <c r="A82" s="1" t="s">
        <v>68</v>
      </c>
      <c r="B82" s="1" t="s">
        <v>69</v>
      </c>
      <c r="C82" s="1" t="s">
        <v>70</v>
      </c>
      <c r="D82" s="2" t="s">
        <v>20</v>
      </c>
      <c r="E82" s="2" t="s">
        <v>21</v>
      </c>
      <c r="F82" s="3" t="n">
        <v>30</v>
      </c>
      <c r="G82" s="2" t="s">
        <v>23</v>
      </c>
      <c r="H82" s="4" t="n">
        <v>0.1854</v>
      </c>
      <c r="I82" s="2" t="n">
        <v>0.293428246522238</v>
      </c>
      <c r="J82" s="2" t="n">
        <v>0.321299566868586</v>
      </c>
      <c r="K82" s="2" t="n">
        <f aca="false">J82-I82</f>
        <v>0.0278713203463483</v>
      </c>
      <c r="L82" s="2" t="n">
        <v>0.756542240061655</v>
      </c>
    </row>
    <row r="83" customFormat="false" ht="15" hidden="false" customHeight="false" outlineLevel="0" collapsed="false">
      <c r="A83" s="1" t="s">
        <v>68</v>
      </c>
      <c r="B83" s="1" t="s">
        <v>69</v>
      </c>
      <c r="C83" s="1" t="s">
        <v>70</v>
      </c>
      <c r="D83" s="2" t="s">
        <v>20</v>
      </c>
      <c r="E83" s="2" t="s">
        <v>21</v>
      </c>
      <c r="F83" s="3" t="n">
        <v>30</v>
      </c>
      <c r="G83" s="2" t="s">
        <v>25</v>
      </c>
      <c r="H83" s="4" t="n">
        <v>0.1851</v>
      </c>
      <c r="I83" s="2" t="n">
        <v>0.292871976257432</v>
      </c>
      <c r="J83" s="2" t="n">
        <v>0.306576838408647</v>
      </c>
      <c r="K83" s="2" t="n">
        <f aca="false">J83-I83</f>
        <v>0.0137048621512156</v>
      </c>
      <c r="L83" s="2" t="n">
        <v>0.756542240061655</v>
      </c>
    </row>
    <row r="84" customFormat="false" ht="15" hidden="false" customHeight="false" outlineLevel="0" collapsed="false">
      <c r="A84" s="1" t="s">
        <v>68</v>
      </c>
      <c r="B84" s="1" t="s">
        <v>69</v>
      </c>
      <c r="C84" s="1" t="s">
        <v>70</v>
      </c>
      <c r="D84" s="2" t="s">
        <v>20</v>
      </c>
      <c r="E84" s="2" t="s">
        <v>21</v>
      </c>
      <c r="F84" s="3" t="n">
        <v>30</v>
      </c>
      <c r="G84" s="2" t="s">
        <v>26</v>
      </c>
      <c r="H84" s="4" t="n">
        <v>0.1572</v>
      </c>
      <c r="I84" s="2" t="n">
        <v>0.248814143657948</v>
      </c>
      <c r="J84" s="2" t="n">
        <v>0.276687561468229</v>
      </c>
      <c r="K84" s="2" t="n">
        <f aca="false">J84-I84</f>
        <v>0.0278734178102817</v>
      </c>
      <c r="L84" s="2" t="n">
        <v>0.756542240061655</v>
      </c>
    </row>
    <row r="85" customFormat="false" ht="15" hidden="false" customHeight="false" outlineLevel="0" collapsed="false">
      <c r="A85" s="1" t="s">
        <v>68</v>
      </c>
      <c r="B85" s="1" t="s">
        <v>69</v>
      </c>
      <c r="C85" s="1" t="s">
        <v>70</v>
      </c>
      <c r="D85" s="2" t="s">
        <v>20</v>
      </c>
      <c r="E85" s="2" t="s">
        <v>21</v>
      </c>
      <c r="F85" s="3" t="n">
        <v>30</v>
      </c>
      <c r="G85" s="2" t="s">
        <v>24</v>
      </c>
      <c r="H85" s="4" t="n">
        <v>0.1517</v>
      </c>
      <c r="I85" s="2" t="n">
        <v>0.240126781299675</v>
      </c>
      <c r="J85" s="2" t="n">
        <v>0.283570220479647</v>
      </c>
      <c r="K85" s="2" t="n">
        <f aca="false">J85-I85</f>
        <v>0.0434434391799724</v>
      </c>
      <c r="L85" s="2" t="n">
        <v>0.756542240061655</v>
      </c>
    </row>
    <row r="86" customFormat="false" ht="15" hidden="false" customHeight="false" outlineLevel="0" collapsed="false">
      <c r="A86" s="1" t="s">
        <v>68</v>
      </c>
      <c r="B86" s="1" t="s">
        <v>69</v>
      </c>
      <c r="C86" s="1" t="s">
        <v>70</v>
      </c>
      <c r="D86" s="2" t="s">
        <v>20</v>
      </c>
      <c r="E86" s="2" t="s">
        <v>21</v>
      </c>
      <c r="F86" s="3" t="n">
        <v>30</v>
      </c>
      <c r="G86" s="2" t="s">
        <v>27</v>
      </c>
      <c r="H86" s="4" t="n">
        <v>0.1</v>
      </c>
      <c r="I86" s="2" t="n">
        <v>0.148808798800717</v>
      </c>
      <c r="J86" s="2" t="n">
        <v>0.203423038196105</v>
      </c>
      <c r="K86" s="2" t="n">
        <f aca="false">J86-I86</f>
        <v>0.0546142393953887</v>
      </c>
      <c r="L86" s="2" t="n">
        <v>0.756542240061655</v>
      </c>
    </row>
    <row r="87" customFormat="false" ht="15" hidden="false" customHeight="false" outlineLevel="0" collapsed="false">
      <c r="A87" s="1" t="s">
        <v>71</v>
      </c>
      <c r="B87" s="1" t="s">
        <v>72</v>
      </c>
      <c r="C87" s="1" t="s">
        <v>73</v>
      </c>
      <c r="D87" s="2" t="s">
        <v>20</v>
      </c>
      <c r="E87" s="2" t="s">
        <v>21</v>
      </c>
      <c r="F87" s="3" t="n">
        <v>32</v>
      </c>
      <c r="G87" s="2" t="s">
        <v>22</v>
      </c>
      <c r="H87" s="4" t="n">
        <v>0.4641</v>
      </c>
      <c r="I87" s="2" t="n">
        <v>0.22813970630436</v>
      </c>
      <c r="J87" s="2" t="n">
        <v>0.328581409021868</v>
      </c>
      <c r="K87" s="2" t="n">
        <f aca="false">J87-I87</f>
        <v>0.100441702717509</v>
      </c>
      <c r="L87" s="2" t="n">
        <v>0.773732018127407</v>
      </c>
      <c r="N87" s="2" t="n">
        <f aca="false">AVERAGE(K87:K89)</f>
        <v>0.0916570653203118</v>
      </c>
    </row>
    <row r="88" customFormat="false" ht="15" hidden="false" customHeight="false" outlineLevel="0" collapsed="false">
      <c r="A88" s="1" t="s">
        <v>71</v>
      </c>
      <c r="B88" s="1" t="s">
        <v>72</v>
      </c>
      <c r="C88" s="1" t="s">
        <v>73</v>
      </c>
      <c r="D88" s="2" t="s">
        <v>20</v>
      </c>
      <c r="E88" s="2" t="s">
        <v>21</v>
      </c>
      <c r="F88" s="3" t="n">
        <v>32</v>
      </c>
      <c r="G88" s="2" t="s">
        <v>23</v>
      </c>
      <c r="H88" s="4" t="n">
        <v>0.4359</v>
      </c>
      <c r="I88" s="2" t="n">
        <v>0.214319205667853</v>
      </c>
      <c r="J88" s="2" t="n">
        <v>0.300447017657914</v>
      </c>
      <c r="K88" s="2" t="n">
        <f aca="false">J88-I88</f>
        <v>0.0861278119900606</v>
      </c>
      <c r="L88" s="2" t="n">
        <v>0.773732018127407</v>
      </c>
    </row>
    <row r="89" customFormat="false" ht="15" hidden="false" customHeight="false" outlineLevel="0" collapsed="false">
      <c r="A89" s="1" t="s">
        <v>71</v>
      </c>
      <c r="B89" s="1" t="s">
        <v>72</v>
      </c>
      <c r="C89" s="1" t="s">
        <v>73</v>
      </c>
      <c r="D89" s="2" t="s">
        <v>20</v>
      </c>
      <c r="E89" s="2" t="s">
        <v>21</v>
      </c>
      <c r="F89" s="3" t="n">
        <v>32</v>
      </c>
      <c r="G89" s="2" t="s">
        <v>27</v>
      </c>
      <c r="H89" s="4" t="n">
        <v>0.1</v>
      </c>
      <c r="I89" s="2" t="n">
        <v>0.0957778049030761</v>
      </c>
      <c r="J89" s="2" t="n">
        <v>0.184179486156442</v>
      </c>
      <c r="K89" s="2" t="n">
        <f aca="false">J89-I89</f>
        <v>0.0884016812533663</v>
      </c>
      <c r="L89" s="2" t="n">
        <v>0.773732018127407</v>
      </c>
    </row>
    <row r="90" customFormat="false" ht="15" hidden="false" customHeight="false" outlineLevel="0" collapsed="false">
      <c r="A90" s="1" t="s">
        <v>74</v>
      </c>
      <c r="B90" s="1" t="s">
        <v>75</v>
      </c>
      <c r="C90" s="1" t="s">
        <v>76</v>
      </c>
      <c r="D90" s="2" t="s">
        <v>20</v>
      </c>
      <c r="E90" s="2" t="s">
        <v>21</v>
      </c>
      <c r="F90" s="3" t="n">
        <v>34</v>
      </c>
      <c r="G90" s="2" t="s">
        <v>23</v>
      </c>
      <c r="H90" s="4" t="n">
        <v>0.4545</v>
      </c>
      <c r="I90" s="2" t="n">
        <v>0.255265876428718</v>
      </c>
      <c r="J90" s="2" t="n">
        <v>0.329423906508964</v>
      </c>
      <c r="K90" s="2" t="n">
        <f aca="false">J90-I90</f>
        <v>0.0741580300802454</v>
      </c>
      <c r="L90" s="2" t="n">
        <v>0.812690613075421</v>
      </c>
      <c r="N90" s="2" t="n">
        <f aca="false">AVERAGE(K90:K92)</f>
        <v>0.088493558731057</v>
      </c>
    </row>
    <row r="91" customFormat="false" ht="15" hidden="false" customHeight="false" outlineLevel="0" collapsed="false">
      <c r="A91" s="1" t="s">
        <v>74</v>
      </c>
      <c r="B91" s="1" t="s">
        <v>75</v>
      </c>
      <c r="C91" s="1" t="s">
        <v>76</v>
      </c>
      <c r="D91" s="2" t="s">
        <v>20</v>
      </c>
      <c r="E91" s="2" t="s">
        <v>21</v>
      </c>
      <c r="F91" s="3" t="n">
        <v>34</v>
      </c>
      <c r="G91" s="2" t="s">
        <v>22</v>
      </c>
      <c r="H91" s="4" t="n">
        <v>0.4455</v>
      </c>
      <c r="I91" s="2" t="n">
        <v>0.250203621724259</v>
      </c>
      <c r="J91" s="2" t="n">
        <v>0.336716415218051</v>
      </c>
      <c r="K91" s="2" t="n">
        <f aca="false">J91-I91</f>
        <v>0.086512793493792</v>
      </c>
      <c r="L91" s="2" t="n">
        <v>0.812690613075421</v>
      </c>
    </row>
    <row r="92" customFormat="false" ht="15" hidden="false" customHeight="false" outlineLevel="0" collapsed="false">
      <c r="A92" s="1" t="s">
        <v>74</v>
      </c>
      <c r="B92" s="1" t="s">
        <v>75</v>
      </c>
      <c r="C92" s="1" t="s">
        <v>76</v>
      </c>
      <c r="D92" s="2" t="s">
        <v>20</v>
      </c>
      <c r="E92" s="2" t="s">
        <v>21</v>
      </c>
      <c r="F92" s="3" t="n">
        <v>34</v>
      </c>
      <c r="G92" s="2" t="s">
        <v>27</v>
      </c>
      <c r="H92" s="4" t="n">
        <v>0.1</v>
      </c>
      <c r="I92" s="2" t="n">
        <v>0.098105088038001</v>
      </c>
      <c r="J92" s="2" t="n">
        <v>0.202914940657135</v>
      </c>
      <c r="K92" s="2" t="n">
        <f aca="false">J92-I92</f>
        <v>0.104809852619133</v>
      </c>
      <c r="L92" s="2" t="n">
        <v>0.812690613075421</v>
      </c>
    </row>
    <row r="93" customFormat="false" ht="15" hidden="false" customHeight="false" outlineLevel="0" collapsed="false">
      <c r="A93" s="1" t="s">
        <v>77</v>
      </c>
      <c r="B93" s="1" t="s">
        <v>78</v>
      </c>
      <c r="C93" s="1" t="s">
        <v>79</v>
      </c>
      <c r="D93" s="2" t="s">
        <v>20</v>
      </c>
      <c r="E93" s="2" t="s">
        <v>21</v>
      </c>
      <c r="F93" s="3" t="n">
        <v>36</v>
      </c>
      <c r="G93" s="2" t="s">
        <v>22</v>
      </c>
      <c r="H93" s="4" t="n">
        <v>0.2034</v>
      </c>
      <c r="I93" s="2" t="n">
        <v>0.296359750053672</v>
      </c>
      <c r="J93" s="2" t="n">
        <v>0.410124537195865</v>
      </c>
      <c r="K93" s="2" t="n">
        <f aca="false">J93-I93</f>
        <v>0.113764787142194</v>
      </c>
      <c r="L93" s="2" t="n">
        <v>0.726488853152379</v>
      </c>
      <c r="N93" s="2" t="n">
        <f aca="false">AVERAGE(K93:K98)</f>
        <v>0.098598106437558</v>
      </c>
    </row>
    <row r="94" customFormat="false" ht="15" hidden="false" customHeight="false" outlineLevel="0" collapsed="false">
      <c r="A94" s="1" t="s">
        <v>77</v>
      </c>
      <c r="B94" s="1" t="s">
        <v>78</v>
      </c>
      <c r="C94" s="1" t="s">
        <v>79</v>
      </c>
      <c r="D94" s="2" t="s">
        <v>20</v>
      </c>
      <c r="E94" s="2" t="s">
        <v>21</v>
      </c>
      <c r="F94" s="3" t="n">
        <v>36</v>
      </c>
      <c r="G94" s="2" t="s">
        <v>23</v>
      </c>
      <c r="H94" s="4" t="n">
        <v>0.1891</v>
      </c>
      <c r="I94" s="2" t="n">
        <v>0.275474223231431</v>
      </c>
      <c r="J94" s="2" t="n">
        <v>0.382280845611593</v>
      </c>
      <c r="K94" s="2" t="n">
        <f aca="false">J94-I94</f>
        <v>0.106806622380162</v>
      </c>
      <c r="L94" s="2" t="n">
        <v>0.726488853152379</v>
      </c>
    </row>
    <row r="95" customFormat="false" ht="15" hidden="false" customHeight="false" outlineLevel="0" collapsed="false">
      <c r="A95" s="1" t="s">
        <v>77</v>
      </c>
      <c r="B95" s="1" t="s">
        <v>78</v>
      </c>
      <c r="C95" s="1" t="s">
        <v>79</v>
      </c>
      <c r="D95" s="2" t="s">
        <v>20</v>
      </c>
      <c r="E95" s="2" t="s">
        <v>21</v>
      </c>
      <c r="F95" s="3" t="n">
        <v>36</v>
      </c>
      <c r="G95" s="2" t="s">
        <v>25</v>
      </c>
      <c r="H95" s="4" t="n">
        <v>0.1725</v>
      </c>
      <c r="I95" s="2" t="n">
        <v>0.25131644595108</v>
      </c>
      <c r="J95" s="2" t="n">
        <v>0.32782361495672</v>
      </c>
      <c r="K95" s="2" t="n">
        <f aca="false">J95-I95</f>
        <v>0.0765071690056395</v>
      </c>
      <c r="L95" s="2" t="n">
        <v>0.726488853152379</v>
      </c>
    </row>
    <row r="96" customFormat="false" ht="15" hidden="false" customHeight="false" outlineLevel="0" collapsed="false">
      <c r="A96" s="1" t="s">
        <v>77</v>
      </c>
      <c r="B96" s="1" t="s">
        <v>78</v>
      </c>
      <c r="C96" s="1" t="s">
        <v>79</v>
      </c>
      <c r="D96" s="2" t="s">
        <v>20</v>
      </c>
      <c r="E96" s="2" t="s">
        <v>21</v>
      </c>
      <c r="F96" s="3" t="n">
        <v>36</v>
      </c>
      <c r="G96" s="2" t="s">
        <v>26</v>
      </c>
      <c r="H96" s="4" t="n">
        <v>0.1679</v>
      </c>
      <c r="I96" s="2" t="n">
        <v>0.244699145841201</v>
      </c>
      <c r="J96" s="2" t="n">
        <v>0.297364155898218</v>
      </c>
      <c r="K96" s="2" t="n">
        <f aca="false">J96-I96</f>
        <v>0.0526650100570175</v>
      </c>
      <c r="L96" s="2" t="n">
        <v>0.726488853152379</v>
      </c>
    </row>
    <row r="97" customFormat="false" ht="15" hidden="false" customHeight="false" outlineLevel="0" collapsed="false">
      <c r="A97" s="1" t="s">
        <v>77</v>
      </c>
      <c r="B97" s="1" t="s">
        <v>78</v>
      </c>
      <c r="C97" s="1" t="s">
        <v>79</v>
      </c>
      <c r="D97" s="2" t="s">
        <v>20</v>
      </c>
      <c r="E97" s="2" t="s">
        <v>21</v>
      </c>
      <c r="F97" s="3" t="n">
        <v>36</v>
      </c>
      <c r="G97" s="2" t="s">
        <v>24</v>
      </c>
      <c r="H97" s="4" t="n">
        <v>0.1672</v>
      </c>
      <c r="I97" s="2" t="n">
        <v>0.243572923597863</v>
      </c>
      <c r="J97" s="2" t="n">
        <v>0.362830426949795</v>
      </c>
      <c r="K97" s="2" t="n">
        <f aca="false">J97-I97</f>
        <v>0.119257503351931</v>
      </c>
      <c r="L97" s="2" t="n">
        <v>0.726488853152379</v>
      </c>
    </row>
    <row r="98" customFormat="false" ht="15" hidden="false" customHeight="false" outlineLevel="0" collapsed="false">
      <c r="A98" s="1" t="s">
        <v>77</v>
      </c>
      <c r="B98" s="1" t="s">
        <v>78</v>
      </c>
      <c r="C98" s="1" t="s">
        <v>79</v>
      </c>
      <c r="D98" s="2" t="s">
        <v>20</v>
      </c>
      <c r="E98" s="2" t="s">
        <v>21</v>
      </c>
      <c r="F98" s="3" t="n">
        <v>36</v>
      </c>
      <c r="G98" s="2" t="s">
        <v>27</v>
      </c>
      <c r="H98" s="4" t="n">
        <v>0.1</v>
      </c>
      <c r="I98" s="2" t="n">
        <v>0.173669012732103</v>
      </c>
      <c r="J98" s="2" t="n">
        <v>0.296256559420507</v>
      </c>
      <c r="K98" s="2" t="n">
        <f aca="false">J98-I98</f>
        <v>0.122587546688404</v>
      </c>
      <c r="L98" s="2" t="n">
        <v>0.726488853152379</v>
      </c>
    </row>
    <row r="99" customFormat="false" ht="15" hidden="false" customHeight="false" outlineLevel="0" collapsed="false">
      <c r="A99" s="1" t="s">
        <v>80</v>
      </c>
      <c r="B99" s="1" t="s">
        <v>81</v>
      </c>
      <c r="C99" s="1" t="s">
        <v>82</v>
      </c>
      <c r="D99" s="2" t="s">
        <v>20</v>
      </c>
      <c r="E99" s="2" t="s">
        <v>21</v>
      </c>
      <c r="F99" s="3" t="n">
        <v>38</v>
      </c>
      <c r="G99" s="2" t="s">
        <v>22</v>
      </c>
      <c r="H99" s="4" t="n">
        <v>0.2111</v>
      </c>
      <c r="I99" s="2" t="n">
        <v>0.325093330369072</v>
      </c>
      <c r="J99" s="2" t="n">
        <v>0.342283740473722</v>
      </c>
      <c r="K99" s="2" t="n">
        <f aca="false">J99-I99</f>
        <v>0.0171904101046494</v>
      </c>
      <c r="L99" s="2" t="n">
        <v>0.763300559740396</v>
      </c>
      <c r="N99" s="2" t="n">
        <f aca="false">AVERAGE(K99:K104)</f>
        <v>0.00160336071826534</v>
      </c>
    </row>
    <row r="100" customFormat="false" ht="15" hidden="false" customHeight="false" outlineLevel="0" collapsed="false">
      <c r="A100" s="1" t="s">
        <v>80</v>
      </c>
      <c r="B100" s="1" t="s">
        <v>81</v>
      </c>
      <c r="C100" s="1" t="s">
        <v>82</v>
      </c>
      <c r="D100" s="2" t="s">
        <v>20</v>
      </c>
      <c r="E100" s="2" t="s">
        <v>21</v>
      </c>
      <c r="F100" s="3" t="n">
        <v>38</v>
      </c>
      <c r="G100" s="2" t="s">
        <v>23</v>
      </c>
      <c r="H100" s="4" t="n">
        <v>0.1928</v>
      </c>
      <c r="I100" s="2" t="n">
        <v>0.296907400914226</v>
      </c>
      <c r="J100" s="2" t="n">
        <v>0.296235392050927</v>
      </c>
      <c r="K100" s="2" t="n">
        <f aca="false">J100-I100</f>
        <v>-0.000672008863298879</v>
      </c>
      <c r="L100" s="2" t="n">
        <v>0.763300559740396</v>
      </c>
    </row>
    <row r="101" customFormat="false" ht="15" hidden="false" customHeight="false" outlineLevel="0" collapsed="false">
      <c r="A101" s="1" t="s">
        <v>80</v>
      </c>
      <c r="B101" s="1" t="s">
        <v>81</v>
      </c>
      <c r="C101" s="1" t="s">
        <v>82</v>
      </c>
      <c r="D101" s="2" t="s">
        <v>20</v>
      </c>
      <c r="E101" s="2" t="s">
        <v>21</v>
      </c>
      <c r="F101" s="3" t="n">
        <v>38</v>
      </c>
      <c r="G101" s="2" t="s">
        <v>24</v>
      </c>
      <c r="H101" s="4" t="n">
        <v>0.1846</v>
      </c>
      <c r="I101" s="2" t="n">
        <v>0.28439423534553</v>
      </c>
      <c r="J101" s="2" t="n">
        <v>0.288339082642554</v>
      </c>
      <c r="K101" s="2" t="n">
        <f aca="false">J101-I101</f>
        <v>0.00394484729702371</v>
      </c>
      <c r="L101" s="2" t="n">
        <v>0.763300559740396</v>
      </c>
    </row>
    <row r="102" customFormat="false" ht="15" hidden="false" customHeight="false" outlineLevel="0" collapsed="false">
      <c r="A102" s="1" t="s">
        <v>80</v>
      </c>
      <c r="B102" s="1" t="s">
        <v>81</v>
      </c>
      <c r="C102" s="1" t="s">
        <v>82</v>
      </c>
      <c r="D102" s="2" t="s">
        <v>20</v>
      </c>
      <c r="E102" s="2" t="s">
        <v>21</v>
      </c>
      <c r="F102" s="3" t="n">
        <v>38</v>
      </c>
      <c r="G102" s="2" t="s">
        <v>25</v>
      </c>
      <c r="H102" s="4" t="n">
        <v>0.1586</v>
      </c>
      <c r="I102" s="2" t="n">
        <v>0.244322580642647</v>
      </c>
      <c r="J102" s="2" t="n">
        <v>0.256674045284295</v>
      </c>
      <c r="K102" s="2" t="n">
        <f aca="false">J102-I102</f>
        <v>0.012351464641648</v>
      </c>
      <c r="L102" s="2" t="n">
        <v>0.763300559740396</v>
      </c>
    </row>
    <row r="103" customFormat="false" ht="15" hidden="false" customHeight="false" outlineLevel="0" collapsed="false">
      <c r="A103" s="1" t="s">
        <v>80</v>
      </c>
      <c r="B103" s="1" t="s">
        <v>81</v>
      </c>
      <c r="C103" s="1" t="s">
        <v>82</v>
      </c>
      <c r="D103" s="2" t="s">
        <v>20</v>
      </c>
      <c r="E103" s="2" t="s">
        <v>21</v>
      </c>
      <c r="F103" s="3" t="n">
        <v>38</v>
      </c>
      <c r="G103" s="2" t="s">
        <v>83</v>
      </c>
      <c r="H103" s="4" t="n">
        <v>0.1529</v>
      </c>
      <c r="I103" s="2" t="n">
        <v>0.235511440004826</v>
      </c>
      <c r="J103" s="2" t="n">
        <v>0.232106968567042</v>
      </c>
      <c r="K103" s="2" t="n">
        <f aca="false">J103-I103</f>
        <v>-0.0034044714377845</v>
      </c>
      <c r="L103" s="2" t="n">
        <v>0.763300559740396</v>
      </c>
    </row>
    <row r="104" customFormat="false" ht="15" hidden="false" customHeight="false" outlineLevel="0" collapsed="false">
      <c r="A104" s="1" t="s">
        <v>80</v>
      </c>
      <c r="B104" s="1" t="s">
        <v>81</v>
      </c>
      <c r="C104" s="1" t="s">
        <v>82</v>
      </c>
      <c r="D104" s="2" t="s">
        <v>20</v>
      </c>
      <c r="E104" s="2" t="s">
        <v>21</v>
      </c>
      <c r="F104" s="3" t="n">
        <v>38</v>
      </c>
      <c r="G104" s="2" t="s">
        <v>27</v>
      </c>
      <c r="H104" s="4" t="n">
        <v>0.1</v>
      </c>
      <c r="I104" s="2" t="n">
        <v>0.231225592095482</v>
      </c>
      <c r="J104" s="2" t="n">
        <v>0.211435514662837</v>
      </c>
      <c r="K104" s="2" t="n">
        <f aca="false">J104-I104</f>
        <v>-0.0197900774326457</v>
      </c>
      <c r="L104" s="2" t="n">
        <v>0.763300559740396</v>
      </c>
    </row>
    <row r="105" customFormat="false" ht="15" hidden="false" customHeight="false" outlineLevel="0" collapsed="false">
      <c r="A105" s="1" t="s">
        <v>84</v>
      </c>
      <c r="B105" s="1" t="s">
        <v>85</v>
      </c>
      <c r="C105" s="1" t="s">
        <v>86</v>
      </c>
      <c r="D105" s="2" t="s">
        <v>20</v>
      </c>
      <c r="E105" s="2" t="s">
        <v>21</v>
      </c>
      <c r="F105" s="3" t="n">
        <v>40</v>
      </c>
      <c r="G105" s="2" t="s">
        <v>22</v>
      </c>
      <c r="H105" s="4" t="n">
        <v>0.4732</v>
      </c>
      <c r="I105" s="2" t="n">
        <v>0.252608762043242</v>
      </c>
      <c r="J105" s="2" t="n">
        <v>0.328874483812762</v>
      </c>
      <c r="K105" s="2" t="n">
        <f aca="false">J105-I105</f>
        <v>0.0762657217695201</v>
      </c>
      <c r="L105" s="2" t="n">
        <v>0.816538134208694</v>
      </c>
      <c r="N105" s="2" t="n">
        <f aca="false">AVERAGE(K105:K107)</f>
        <v>0.0648288208628675</v>
      </c>
    </row>
    <row r="106" customFormat="false" ht="15" hidden="false" customHeight="false" outlineLevel="0" collapsed="false">
      <c r="A106" s="1" t="s">
        <v>84</v>
      </c>
      <c r="B106" s="1" t="s">
        <v>85</v>
      </c>
      <c r="C106" s="1" t="s">
        <v>86</v>
      </c>
      <c r="D106" s="2" t="s">
        <v>20</v>
      </c>
      <c r="E106" s="2" t="s">
        <v>21</v>
      </c>
      <c r="F106" s="3" t="n">
        <v>40</v>
      </c>
      <c r="G106" s="2" t="s">
        <v>23</v>
      </c>
      <c r="H106" s="4" t="n">
        <v>0.4268</v>
      </c>
      <c r="I106" s="2" t="n">
        <v>0.22787008275147</v>
      </c>
      <c r="J106" s="2" t="n">
        <v>0.281416487448107</v>
      </c>
      <c r="K106" s="2" t="n">
        <f aca="false">J106-I106</f>
        <v>0.0535464046966372</v>
      </c>
      <c r="L106" s="2" t="n">
        <v>0.816538134208694</v>
      </c>
    </row>
    <row r="107" customFormat="false" ht="15" hidden="false" customHeight="false" outlineLevel="0" collapsed="false">
      <c r="A107" s="1" t="s">
        <v>84</v>
      </c>
      <c r="B107" s="1" t="s">
        <v>85</v>
      </c>
      <c r="C107" s="1" t="s">
        <v>86</v>
      </c>
      <c r="D107" s="2" t="s">
        <v>20</v>
      </c>
      <c r="E107" s="2" t="s">
        <v>21</v>
      </c>
      <c r="F107" s="3" t="n">
        <v>40</v>
      </c>
      <c r="G107" s="2" t="s">
        <v>27</v>
      </c>
      <c r="H107" s="4" t="n">
        <v>0.1</v>
      </c>
      <c r="I107" s="2" t="n">
        <v>0.112912037585308</v>
      </c>
      <c r="J107" s="2" t="n">
        <v>0.177586373707753</v>
      </c>
      <c r="K107" s="2" t="n">
        <f aca="false">J107-I107</f>
        <v>0.0646743361224452</v>
      </c>
      <c r="L107" s="2" t="n">
        <v>0.816538134208694</v>
      </c>
    </row>
    <row r="108" customFormat="false" ht="15" hidden="false" customHeight="false" outlineLevel="0" collapsed="false">
      <c r="A108" s="1" t="s">
        <v>87</v>
      </c>
      <c r="B108" s="1" t="s">
        <v>88</v>
      </c>
      <c r="C108" s="1" t="s">
        <v>89</v>
      </c>
      <c r="D108" s="2" t="s">
        <v>20</v>
      </c>
      <c r="E108" s="2" t="s">
        <v>21</v>
      </c>
      <c r="F108" s="3" t="n">
        <v>42</v>
      </c>
      <c r="G108" s="2" t="s">
        <v>22</v>
      </c>
      <c r="H108" s="4" t="n">
        <v>0.3201</v>
      </c>
      <c r="I108" s="2" t="n">
        <v>0.240265692124723</v>
      </c>
      <c r="J108" s="2" t="n">
        <v>0.402043424250977</v>
      </c>
      <c r="K108" s="2" t="n">
        <f aca="false">J108-I108</f>
        <v>0.161777732126254</v>
      </c>
      <c r="L108" s="2" t="n">
        <v>0.643391428768254</v>
      </c>
      <c r="N108" s="2" t="n">
        <f aca="false">AVERAGE(K108:K111)</f>
        <v>0.139308412366767</v>
      </c>
    </row>
    <row r="109" customFormat="false" ht="15" hidden="false" customHeight="false" outlineLevel="0" collapsed="false">
      <c r="A109" s="1" t="s">
        <v>87</v>
      </c>
      <c r="B109" s="1" t="s">
        <v>88</v>
      </c>
      <c r="C109" s="1" t="s">
        <v>89</v>
      </c>
      <c r="D109" s="2" t="s">
        <v>20</v>
      </c>
      <c r="E109" s="2" t="s">
        <v>21</v>
      </c>
      <c r="F109" s="3" t="n">
        <v>42</v>
      </c>
      <c r="G109" s="2" t="s">
        <v>23</v>
      </c>
      <c r="H109" s="4" t="n">
        <v>0.3075</v>
      </c>
      <c r="I109" s="2" t="n">
        <v>0.23084556009865</v>
      </c>
      <c r="J109" s="2" t="n">
        <v>0.385008900703751</v>
      </c>
      <c r="K109" s="2" t="n">
        <f aca="false">J109-I109</f>
        <v>0.1541633406051</v>
      </c>
      <c r="L109" s="2" t="n">
        <v>0.643391428768254</v>
      </c>
    </row>
    <row r="110" customFormat="false" ht="15" hidden="false" customHeight="false" outlineLevel="0" collapsed="false">
      <c r="A110" s="1" t="s">
        <v>87</v>
      </c>
      <c r="B110" s="1" t="s">
        <v>88</v>
      </c>
      <c r="C110" s="1" t="s">
        <v>89</v>
      </c>
      <c r="D110" s="2" t="s">
        <v>20</v>
      </c>
      <c r="E110" s="2" t="s">
        <v>21</v>
      </c>
      <c r="F110" s="3" t="n">
        <v>42</v>
      </c>
      <c r="G110" s="2" t="s">
        <v>25</v>
      </c>
      <c r="H110" s="4" t="n">
        <v>0.2724</v>
      </c>
      <c r="I110" s="2" t="n">
        <v>0.204514951465148</v>
      </c>
      <c r="J110" s="2" t="n">
        <v>0.307102227797134</v>
      </c>
      <c r="K110" s="2" t="n">
        <f aca="false">J110-I110</f>
        <v>0.102587276331986</v>
      </c>
      <c r="L110" s="2" t="n">
        <v>0.643391428768254</v>
      </c>
    </row>
    <row r="111" customFormat="false" ht="15" hidden="false" customHeight="false" outlineLevel="0" collapsed="false">
      <c r="A111" s="1" t="s">
        <v>87</v>
      </c>
      <c r="B111" s="1" t="s">
        <v>88</v>
      </c>
      <c r="C111" s="1" t="s">
        <v>89</v>
      </c>
      <c r="D111" s="2" t="s">
        <v>20</v>
      </c>
      <c r="E111" s="2" t="s">
        <v>21</v>
      </c>
      <c r="F111" s="3" t="n">
        <v>42</v>
      </c>
      <c r="G111" s="2" t="s">
        <v>27</v>
      </c>
      <c r="H111" s="4" t="n">
        <v>0.1</v>
      </c>
      <c r="I111" s="2" t="n">
        <v>0.106126743834588</v>
      </c>
      <c r="J111" s="2" t="n">
        <v>0.244832044238315</v>
      </c>
      <c r="K111" s="2" t="n">
        <f aca="false">J111-I111</f>
        <v>0.138705300403727</v>
      </c>
      <c r="L111" s="2" t="n">
        <v>0.643391428768254</v>
      </c>
    </row>
    <row r="112" customFormat="false" ht="15" hidden="false" customHeight="false" outlineLevel="0" collapsed="false">
      <c r="A112" s="1" t="s">
        <v>90</v>
      </c>
      <c r="B112" s="1" t="s">
        <v>91</v>
      </c>
      <c r="C112" s="1" t="s">
        <v>92</v>
      </c>
      <c r="D112" s="2" t="s">
        <v>20</v>
      </c>
      <c r="E112" s="2" t="s">
        <v>21</v>
      </c>
      <c r="F112" s="3" t="n">
        <v>44</v>
      </c>
      <c r="G112" s="2" t="s">
        <v>22</v>
      </c>
      <c r="H112" s="4" t="n">
        <v>0.2164</v>
      </c>
      <c r="I112" s="2" t="n">
        <v>0.355021017576597</v>
      </c>
      <c r="J112" s="2" t="n">
        <v>0.405943325181512</v>
      </c>
      <c r="K112" s="2" t="n">
        <f aca="false">J112-I112</f>
        <v>0.050922307604915</v>
      </c>
      <c r="L112" s="2" t="n">
        <v>0.769255872522075</v>
      </c>
      <c r="N112" s="2" t="n">
        <f aca="false">AVERAGE(K112:K117)</f>
        <v>0.0531559727582721</v>
      </c>
    </row>
    <row r="113" customFormat="false" ht="15" hidden="false" customHeight="false" outlineLevel="0" collapsed="false">
      <c r="A113" s="1" t="s">
        <v>90</v>
      </c>
      <c r="B113" s="1" t="s">
        <v>91</v>
      </c>
      <c r="C113" s="1" t="s">
        <v>92</v>
      </c>
      <c r="D113" s="2" t="s">
        <v>20</v>
      </c>
      <c r="E113" s="2" t="s">
        <v>21</v>
      </c>
      <c r="F113" s="3" t="n">
        <v>44</v>
      </c>
      <c r="G113" s="2" t="s">
        <v>23</v>
      </c>
      <c r="H113" s="4" t="n">
        <v>0.2122</v>
      </c>
      <c r="I113" s="2" t="n">
        <v>0.348020479516101</v>
      </c>
      <c r="J113" s="2" t="n">
        <v>0.410245086523717</v>
      </c>
      <c r="K113" s="2" t="n">
        <f aca="false">J113-I113</f>
        <v>0.0622246070076153</v>
      </c>
      <c r="L113" s="2" t="n">
        <v>0.769255872522075</v>
      </c>
    </row>
    <row r="114" customFormat="false" ht="15" hidden="false" customHeight="false" outlineLevel="0" collapsed="false">
      <c r="A114" s="1" t="s">
        <v>90</v>
      </c>
      <c r="B114" s="1" t="s">
        <v>91</v>
      </c>
      <c r="C114" s="1" t="s">
        <v>92</v>
      </c>
      <c r="D114" s="2" t="s">
        <v>20</v>
      </c>
      <c r="E114" s="2" t="s">
        <v>21</v>
      </c>
      <c r="F114" s="3" t="n">
        <v>44</v>
      </c>
      <c r="G114" s="2" t="s">
        <v>26</v>
      </c>
      <c r="H114" s="4" t="n">
        <v>0.1627</v>
      </c>
      <c r="I114" s="2" t="n">
        <v>0.26682955880702</v>
      </c>
      <c r="J114" s="2" t="n">
        <v>0.309331781145172</v>
      </c>
      <c r="K114" s="2" t="n">
        <f aca="false">J114-I114</f>
        <v>0.0425022223381512</v>
      </c>
      <c r="L114" s="2" t="n">
        <v>0.769255872522075</v>
      </c>
    </row>
    <row r="115" customFormat="false" ht="15" hidden="false" customHeight="false" outlineLevel="0" collapsed="false">
      <c r="A115" s="1" t="s">
        <v>90</v>
      </c>
      <c r="B115" s="1" t="s">
        <v>91</v>
      </c>
      <c r="C115" s="1" t="s">
        <v>92</v>
      </c>
      <c r="D115" s="2" t="s">
        <v>20</v>
      </c>
      <c r="E115" s="2" t="s">
        <v>21</v>
      </c>
      <c r="F115" s="3" t="n">
        <v>44</v>
      </c>
      <c r="G115" s="2" t="s">
        <v>25</v>
      </c>
      <c r="H115" s="4" t="n">
        <v>0.1623</v>
      </c>
      <c r="I115" s="2" t="n">
        <v>0.266221145499829</v>
      </c>
      <c r="J115" s="2" t="n">
        <v>0.320955977295922</v>
      </c>
      <c r="K115" s="2" t="n">
        <f aca="false">J115-I115</f>
        <v>0.0547348317960925</v>
      </c>
      <c r="L115" s="2" t="n">
        <v>0.769255872522075</v>
      </c>
    </row>
    <row r="116" customFormat="false" ht="15" hidden="false" customHeight="false" outlineLevel="0" collapsed="false">
      <c r="A116" s="1" t="s">
        <v>90</v>
      </c>
      <c r="B116" s="1" t="s">
        <v>91</v>
      </c>
      <c r="C116" s="1" t="s">
        <v>92</v>
      </c>
      <c r="D116" s="2" t="s">
        <v>20</v>
      </c>
      <c r="E116" s="2" t="s">
        <v>21</v>
      </c>
      <c r="F116" s="3" t="n">
        <v>44</v>
      </c>
      <c r="G116" s="2" t="s">
        <v>24</v>
      </c>
      <c r="H116" s="4" t="n">
        <v>0.1464</v>
      </c>
      <c r="I116" s="2" t="n">
        <v>0.240176042195756</v>
      </c>
      <c r="J116" s="2" t="n">
        <v>0.29187936099498</v>
      </c>
      <c r="K116" s="2" t="n">
        <f aca="false">J116-I116</f>
        <v>0.0517033187992245</v>
      </c>
      <c r="L116" s="2" t="n">
        <v>0.769255872522075</v>
      </c>
    </row>
    <row r="117" customFormat="false" ht="15" hidden="false" customHeight="false" outlineLevel="0" collapsed="false">
      <c r="A117" s="1" t="s">
        <v>90</v>
      </c>
      <c r="B117" s="1" t="s">
        <v>91</v>
      </c>
      <c r="C117" s="1" t="s">
        <v>92</v>
      </c>
      <c r="D117" s="2" t="s">
        <v>20</v>
      </c>
      <c r="E117" s="2" t="s">
        <v>21</v>
      </c>
      <c r="F117" s="3" t="n">
        <v>44</v>
      </c>
      <c r="G117" s="2" t="s">
        <v>27</v>
      </c>
      <c r="H117" s="4" t="n">
        <v>0.1</v>
      </c>
      <c r="I117" s="2" t="n">
        <v>0.180009574094761</v>
      </c>
      <c r="J117" s="2" t="n">
        <v>0.236858123098396</v>
      </c>
      <c r="K117" s="2" t="n">
        <f aca="false">J117-I117</f>
        <v>0.0568485490036342</v>
      </c>
      <c r="L117" s="2" t="n">
        <v>0.769255872522075</v>
      </c>
    </row>
    <row r="118" customFormat="false" ht="15" hidden="false" customHeight="false" outlineLevel="0" collapsed="false">
      <c r="A118" s="1" t="s">
        <v>93</v>
      </c>
      <c r="B118" s="1" t="s">
        <v>94</v>
      </c>
      <c r="C118" s="1" t="s">
        <v>95</v>
      </c>
      <c r="D118" s="2" t="s">
        <v>20</v>
      </c>
      <c r="E118" s="2" t="s">
        <v>21</v>
      </c>
      <c r="F118" s="3" t="n">
        <v>46</v>
      </c>
      <c r="G118" s="2" t="s">
        <v>22</v>
      </c>
      <c r="H118" s="4" t="n">
        <v>0.2075</v>
      </c>
      <c r="I118" s="2" t="n">
        <v>0.391733442492823</v>
      </c>
      <c r="J118" s="2" t="n">
        <v>0.348150755184166</v>
      </c>
      <c r="K118" s="2" t="n">
        <f aca="false">J118-I118</f>
        <v>-0.0435826873086564</v>
      </c>
      <c r="L118" s="2" t="n">
        <v>0.684670543211604</v>
      </c>
      <c r="N118" s="2" t="n">
        <f aca="false">AVERAGE(K118:K123)</f>
        <v>-0.0501958508791398</v>
      </c>
    </row>
    <row r="119" customFormat="false" ht="15" hidden="false" customHeight="false" outlineLevel="0" collapsed="false">
      <c r="A119" s="1" t="s">
        <v>93</v>
      </c>
      <c r="B119" s="1" t="s">
        <v>94</v>
      </c>
      <c r="C119" s="1" t="s">
        <v>95</v>
      </c>
      <c r="D119" s="2" t="s">
        <v>20</v>
      </c>
      <c r="E119" s="2" t="s">
        <v>21</v>
      </c>
      <c r="F119" s="3" t="n">
        <v>46</v>
      </c>
      <c r="G119" s="2" t="s">
        <v>23</v>
      </c>
      <c r="H119" s="4" t="n">
        <v>0.1969</v>
      </c>
      <c r="I119" s="2" t="n">
        <v>0.371780492442687</v>
      </c>
      <c r="J119" s="2" t="n">
        <v>0.309487938123363</v>
      </c>
      <c r="K119" s="2" t="n">
        <f aca="false">J119-I119</f>
        <v>-0.0622925543193235</v>
      </c>
      <c r="L119" s="2" t="n">
        <v>0.684670543211604</v>
      </c>
    </row>
    <row r="120" customFormat="false" ht="15" hidden="false" customHeight="false" outlineLevel="0" collapsed="false">
      <c r="A120" s="1" t="s">
        <v>93</v>
      </c>
      <c r="B120" s="1" t="s">
        <v>94</v>
      </c>
      <c r="C120" s="1" t="s">
        <v>95</v>
      </c>
      <c r="D120" s="2" t="s">
        <v>20</v>
      </c>
      <c r="E120" s="2" t="s">
        <v>21</v>
      </c>
      <c r="F120" s="3" t="n">
        <v>46</v>
      </c>
      <c r="G120" s="2" t="s">
        <v>26</v>
      </c>
      <c r="H120" s="4" t="n">
        <v>0.17</v>
      </c>
      <c r="I120" s="2" t="n">
        <v>0.321025460038505</v>
      </c>
      <c r="J120" s="2" t="n">
        <v>0.276131637015203</v>
      </c>
      <c r="K120" s="2" t="n">
        <f aca="false">J120-I120</f>
        <v>-0.0448938230233025</v>
      </c>
      <c r="L120" s="2" t="n">
        <v>0.684670543211604</v>
      </c>
    </row>
    <row r="121" customFormat="false" ht="15" hidden="false" customHeight="false" outlineLevel="0" collapsed="false">
      <c r="A121" s="1" t="s">
        <v>93</v>
      </c>
      <c r="B121" s="1" t="s">
        <v>94</v>
      </c>
      <c r="C121" s="1" t="s">
        <v>95</v>
      </c>
      <c r="D121" s="2" t="s">
        <v>20</v>
      </c>
      <c r="E121" s="2" t="s">
        <v>21</v>
      </c>
      <c r="F121" s="3" t="n">
        <v>46</v>
      </c>
      <c r="G121" s="2" t="s">
        <v>96</v>
      </c>
      <c r="H121" s="4" t="n">
        <v>0.1628</v>
      </c>
      <c r="I121" s="2" t="n">
        <v>0.307384281257596</v>
      </c>
      <c r="J121" s="2" t="n">
        <v>0.226601153883665</v>
      </c>
      <c r="K121" s="2" t="n">
        <f aca="false">J121-I121</f>
        <v>-0.080783127373931</v>
      </c>
      <c r="L121" s="2" t="n">
        <v>0.684670543211604</v>
      </c>
    </row>
    <row r="122" customFormat="false" ht="15" hidden="false" customHeight="false" outlineLevel="0" collapsed="false">
      <c r="A122" s="1" t="s">
        <v>93</v>
      </c>
      <c r="B122" s="1" t="s">
        <v>94</v>
      </c>
      <c r="C122" s="1" t="s">
        <v>95</v>
      </c>
      <c r="D122" s="2" t="s">
        <v>20</v>
      </c>
      <c r="E122" s="2" t="s">
        <v>21</v>
      </c>
      <c r="F122" s="3" t="n">
        <v>46</v>
      </c>
      <c r="G122" s="2" t="s">
        <v>25</v>
      </c>
      <c r="H122" s="4" t="n">
        <v>0.1627</v>
      </c>
      <c r="I122" s="2" t="n">
        <v>0.307207042435199</v>
      </c>
      <c r="J122" s="2" t="n">
        <v>0.267022325294839</v>
      </c>
      <c r="K122" s="2" t="n">
        <f aca="false">J122-I122</f>
        <v>-0.0401847171403596</v>
      </c>
      <c r="L122" s="2" t="n">
        <v>0.684670543211604</v>
      </c>
    </row>
    <row r="123" customFormat="false" ht="15" hidden="false" customHeight="false" outlineLevel="0" collapsed="false">
      <c r="A123" s="1" t="s">
        <v>93</v>
      </c>
      <c r="B123" s="1" t="s">
        <v>94</v>
      </c>
      <c r="C123" s="1" t="s">
        <v>95</v>
      </c>
      <c r="D123" s="2" t="s">
        <v>20</v>
      </c>
      <c r="E123" s="2" t="s">
        <v>21</v>
      </c>
      <c r="F123" s="3" t="n">
        <v>46</v>
      </c>
      <c r="G123" s="2" t="s">
        <v>27</v>
      </c>
      <c r="H123" s="4" t="n">
        <v>0.1</v>
      </c>
      <c r="I123" s="2" t="n">
        <v>0.221205460643739</v>
      </c>
      <c r="J123" s="2" t="n">
        <v>0.191767264534473</v>
      </c>
      <c r="K123" s="2" t="n">
        <f aca="false">J123-I123</f>
        <v>-0.0294381961092655</v>
      </c>
      <c r="L123" s="2" t="n">
        <v>0.684670543211604</v>
      </c>
    </row>
    <row r="124" customFormat="false" ht="15" hidden="false" customHeight="false" outlineLevel="0" collapsed="false">
      <c r="A124" s="1" t="s">
        <v>97</v>
      </c>
      <c r="B124" s="1" t="s">
        <v>98</v>
      </c>
      <c r="C124" s="1" t="s">
        <v>99</v>
      </c>
      <c r="D124" s="2" t="s">
        <v>20</v>
      </c>
      <c r="E124" s="2" t="s">
        <v>21</v>
      </c>
      <c r="F124" s="3" t="n">
        <v>48</v>
      </c>
      <c r="G124" s="2" t="s">
        <v>22</v>
      </c>
      <c r="H124" s="4" t="n">
        <v>0.3291</v>
      </c>
      <c r="I124" s="2" t="n">
        <v>0.24963159558221</v>
      </c>
      <c r="J124" s="2" t="n">
        <v>0.333302541918827</v>
      </c>
      <c r="K124" s="2" t="n">
        <f aca="false">J124-I124</f>
        <v>0.0836709463366167</v>
      </c>
      <c r="L124" s="2" t="n">
        <v>0.758491886581855</v>
      </c>
      <c r="N124" s="2" t="n">
        <f aca="false">AVERAGE(K124:K127)</f>
        <v>0.0944764871549483</v>
      </c>
    </row>
    <row r="125" customFormat="false" ht="15" hidden="false" customHeight="false" outlineLevel="0" collapsed="false">
      <c r="A125" s="1" t="s">
        <v>97</v>
      </c>
      <c r="B125" s="1" t="s">
        <v>98</v>
      </c>
      <c r="C125" s="1" t="s">
        <v>99</v>
      </c>
      <c r="D125" s="2" t="s">
        <v>20</v>
      </c>
      <c r="E125" s="2" t="s">
        <v>21</v>
      </c>
      <c r="F125" s="3" t="n">
        <v>48</v>
      </c>
      <c r="G125" s="2" t="s">
        <v>23</v>
      </c>
      <c r="H125" s="4" t="n">
        <v>0.297</v>
      </c>
      <c r="I125" s="2" t="n">
        <v>0.225329186868275</v>
      </c>
      <c r="J125" s="2" t="n">
        <v>0.330045815485385</v>
      </c>
      <c r="K125" s="2" t="n">
        <f aca="false">J125-I125</f>
        <v>0.10471662861711</v>
      </c>
      <c r="L125" s="2" t="n">
        <v>0.758491886581855</v>
      </c>
    </row>
    <row r="126" customFormat="false" ht="15" hidden="false" customHeight="false" outlineLevel="0" collapsed="false">
      <c r="A126" s="1" t="s">
        <v>97</v>
      </c>
      <c r="B126" s="1" t="s">
        <v>98</v>
      </c>
      <c r="C126" s="1" t="s">
        <v>99</v>
      </c>
      <c r="D126" s="2" t="s">
        <v>20</v>
      </c>
      <c r="E126" s="2" t="s">
        <v>21</v>
      </c>
      <c r="F126" s="3" t="n">
        <v>48</v>
      </c>
      <c r="G126" s="2" t="s">
        <v>24</v>
      </c>
      <c r="H126" s="4" t="n">
        <v>0.2739</v>
      </c>
      <c r="I126" s="2" t="n">
        <v>0.207804554386902</v>
      </c>
      <c r="J126" s="2" t="n">
        <v>0.274623598697824</v>
      </c>
      <c r="K126" s="2" t="n">
        <f aca="false">J126-I126</f>
        <v>0.0668190443109214</v>
      </c>
      <c r="L126" s="2" t="n">
        <v>0.758491886581855</v>
      </c>
    </row>
    <row r="127" customFormat="false" ht="15" hidden="false" customHeight="false" outlineLevel="0" collapsed="false">
      <c r="A127" s="1" t="s">
        <v>97</v>
      </c>
      <c r="B127" s="1" t="s">
        <v>98</v>
      </c>
      <c r="C127" s="1" t="s">
        <v>99</v>
      </c>
      <c r="D127" s="2" t="s">
        <v>20</v>
      </c>
      <c r="E127" s="2" t="s">
        <v>21</v>
      </c>
      <c r="F127" s="3" t="n">
        <v>48</v>
      </c>
      <c r="G127" s="2" t="s">
        <v>27</v>
      </c>
      <c r="H127" s="4" t="n">
        <v>0.1</v>
      </c>
      <c r="I127" s="2" t="n">
        <v>0.0956054893613173</v>
      </c>
      <c r="J127" s="2" t="n">
        <v>0.218304818716462</v>
      </c>
      <c r="K127" s="2" t="n">
        <f aca="false">J127-I127</f>
        <v>0.122699329355145</v>
      </c>
      <c r="L127" s="2" t="n">
        <v>0.758491886581855</v>
      </c>
    </row>
    <row r="128" customFormat="false" ht="15" hidden="false" customHeight="false" outlineLevel="0" collapsed="false">
      <c r="A128" s="1" t="s">
        <v>100</v>
      </c>
      <c r="B128" s="1" t="s">
        <v>101</v>
      </c>
      <c r="C128" s="1" t="s">
        <v>102</v>
      </c>
      <c r="D128" s="2" t="s">
        <v>20</v>
      </c>
      <c r="E128" s="2" t="s">
        <v>21</v>
      </c>
      <c r="F128" s="3" t="n">
        <v>50</v>
      </c>
      <c r="G128" s="2" t="s">
        <v>22</v>
      </c>
      <c r="H128" s="4" t="n">
        <v>0.2076</v>
      </c>
      <c r="I128" s="2" t="n">
        <v>0.298070855347314</v>
      </c>
      <c r="J128" s="2" t="n">
        <v>0.360896813580108</v>
      </c>
      <c r="K128" s="2" t="n">
        <f aca="false">J128-I128</f>
        <v>0.0628259582327939</v>
      </c>
      <c r="L128" s="2" t="n">
        <v>0.727230413998473</v>
      </c>
      <c r="N128" s="2" t="n">
        <f aca="false">AVERAGE(K128:K133)</f>
        <v>0.0309322896060542</v>
      </c>
    </row>
    <row r="129" customFormat="false" ht="15" hidden="false" customHeight="false" outlineLevel="0" collapsed="false">
      <c r="A129" s="1" t="s">
        <v>100</v>
      </c>
      <c r="B129" s="1" t="s">
        <v>101</v>
      </c>
      <c r="C129" s="1" t="s">
        <v>102</v>
      </c>
      <c r="D129" s="2" t="s">
        <v>20</v>
      </c>
      <c r="E129" s="2" t="s">
        <v>21</v>
      </c>
      <c r="F129" s="3" t="n">
        <v>50</v>
      </c>
      <c r="G129" s="2" t="s">
        <v>23</v>
      </c>
      <c r="H129" s="4" t="n">
        <v>0.1828</v>
      </c>
      <c r="I129" s="2" t="n">
        <v>0.262442059358424</v>
      </c>
      <c r="J129" s="2" t="n">
        <v>0.300193770211712</v>
      </c>
      <c r="K129" s="2" t="n">
        <f aca="false">J129-I129</f>
        <v>0.0377517108532873</v>
      </c>
      <c r="L129" s="2" t="n">
        <v>0.727230413998473</v>
      </c>
    </row>
    <row r="130" customFormat="false" ht="15" hidden="false" customHeight="false" outlineLevel="0" collapsed="false">
      <c r="A130" s="1" t="s">
        <v>100</v>
      </c>
      <c r="B130" s="1" t="s">
        <v>101</v>
      </c>
      <c r="C130" s="1" t="s">
        <v>102</v>
      </c>
      <c r="D130" s="2" t="s">
        <v>20</v>
      </c>
      <c r="E130" s="2" t="s">
        <v>21</v>
      </c>
      <c r="F130" s="3" t="n">
        <v>50</v>
      </c>
      <c r="G130" s="2" t="s">
        <v>103</v>
      </c>
      <c r="H130" s="4" t="n">
        <v>0.1772</v>
      </c>
      <c r="I130" s="2" t="n">
        <v>0.2544018044949</v>
      </c>
      <c r="J130" s="2" t="n">
        <v>0.254147791854668</v>
      </c>
      <c r="K130" s="2" t="n">
        <f aca="false">J130-I130</f>
        <v>-0.000254012640231505</v>
      </c>
      <c r="L130" s="2" t="n">
        <v>0.727230413998473</v>
      </c>
    </row>
    <row r="131" customFormat="false" ht="15" hidden="false" customHeight="false" outlineLevel="0" collapsed="false">
      <c r="A131" s="1" t="s">
        <v>100</v>
      </c>
      <c r="B131" s="1" t="s">
        <v>101</v>
      </c>
      <c r="C131" s="1" t="s">
        <v>102</v>
      </c>
      <c r="D131" s="2" t="s">
        <v>20</v>
      </c>
      <c r="E131" s="2" t="s">
        <v>21</v>
      </c>
      <c r="F131" s="3" t="n">
        <v>50</v>
      </c>
      <c r="G131" s="2" t="s">
        <v>26</v>
      </c>
      <c r="H131" s="4" t="n">
        <v>0.1693</v>
      </c>
      <c r="I131" s="2" t="n">
        <v>0.243016670367801</v>
      </c>
      <c r="J131" s="2" t="n">
        <v>0.26137331008036</v>
      </c>
      <c r="K131" s="2" t="n">
        <f aca="false">J131-I131</f>
        <v>0.0183566397125586</v>
      </c>
      <c r="L131" s="2" t="n">
        <v>0.727230413998473</v>
      </c>
    </row>
    <row r="132" customFormat="false" ht="15" hidden="false" customHeight="false" outlineLevel="0" collapsed="false">
      <c r="A132" s="1" t="s">
        <v>100</v>
      </c>
      <c r="B132" s="1" t="s">
        <v>101</v>
      </c>
      <c r="C132" s="1" t="s">
        <v>102</v>
      </c>
      <c r="D132" s="2" t="s">
        <v>20</v>
      </c>
      <c r="E132" s="2" t="s">
        <v>21</v>
      </c>
      <c r="F132" s="3" t="n">
        <v>50</v>
      </c>
      <c r="G132" s="2" t="s">
        <v>25</v>
      </c>
      <c r="H132" s="4" t="n">
        <v>0.1632</v>
      </c>
      <c r="I132" s="2" t="n">
        <v>0.234253123666302</v>
      </c>
      <c r="J132" s="2" t="n">
        <v>0.257150585138621</v>
      </c>
      <c r="K132" s="2" t="n">
        <f aca="false">J132-I132</f>
        <v>0.0228974614723192</v>
      </c>
      <c r="L132" s="2" t="n">
        <v>0.727230413998473</v>
      </c>
    </row>
    <row r="133" customFormat="false" ht="15" hidden="false" customHeight="false" outlineLevel="0" collapsed="false">
      <c r="A133" s="1" t="s">
        <v>100</v>
      </c>
      <c r="B133" s="1" t="s">
        <v>101</v>
      </c>
      <c r="C133" s="1" t="s">
        <v>102</v>
      </c>
      <c r="D133" s="2" t="s">
        <v>20</v>
      </c>
      <c r="E133" s="2" t="s">
        <v>21</v>
      </c>
      <c r="F133" s="3" t="n">
        <v>50</v>
      </c>
      <c r="G133" s="2" t="s">
        <v>27</v>
      </c>
      <c r="H133" s="4" t="n">
        <v>0.1</v>
      </c>
      <c r="I133" s="2" t="n">
        <v>0.151887915478325</v>
      </c>
      <c r="J133" s="2" t="n">
        <v>0.195903895483923</v>
      </c>
      <c r="K133" s="2" t="n">
        <f aca="false">J133-I133</f>
        <v>0.0440159800055974</v>
      </c>
      <c r="L133" s="2" t="n">
        <v>0.727230413998473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1" sqref="F12:G12 A1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2" width="20.4"/>
  </cols>
  <sheetData>
    <row r="1" customFormat="false" ht="12.8" hidden="false" customHeight="false" outlineLevel="0" collapsed="false">
      <c r="A1" s="10" t="s">
        <v>104</v>
      </c>
      <c r="B1" s="10"/>
    </row>
    <row r="2" customFormat="false" ht="12.8" hidden="false" customHeight="false" outlineLevel="0" collapsed="false">
      <c r="A2" s="10"/>
      <c r="B2" s="10"/>
    </row>
    <row r="3" customFormat="false" ht="12.8" hidden="false" customHeight="false" outlineLevel="0" collapsed="false">
      <c r="A3" s="10" t="s">
        <v>105</v>
      </c>
      <c r="B3" s="11" t="n">
        <f aca="false">scen2_hybrid!P3</f>
        <v>131</v>
      </c>
    </row>
    <row r="4" customFormat="false" ht="12.8" hidden="false" customHeight="false" outlineLevel="0" collapsed="false">
      <c r="A4" s="10" t="s">
        <v>106</v>
      </c>
      <c r="B4" s="10" t="n">
        <f aca="false">B10*SQRT((B3-2)/(1-B10^2))</f>
        <v>2.21763178557274</v>
      </c>
    </row>
    <row r="5" customFormat="false" ht="12.8" hidden="false" customHeight="false" outlineLevel="0" collapsed="false">
      <c r="A5" s="10" t="s">
        <v>107</v>
      </c>
      <c r="B5" s="10" t="n">
        <f aca="false">_xlfn.T.DIST.2T(ABS(B4),B3-2)</f>
        <v>0.0283303403171434</v>
      </c>
    </row>
    <row r="6" customFormat="false" ht="12.8" hidden="false" customHeight="false" outlineLevel="0" collapsed="false">
      <c r="B6" s="12"/>
    </row>
    <row r="7" customFormat="false" ht="12.8" hidden="false" customHeight="false" outlineLevel="0" collapsed="false">
      <c r="B7" s="12"/>
    </row>
    <row r="8" customFormat="false" ht="12.8" hidden="false" customHeight="false" outlineLevel="0" collapsed="false">
      <c r="B8" s="12"/>
    </row>
    <row r="9" customFormat="false" ht="19.4" hidden="false" customHeight="false" outlineLevel="0" collapsed="false">
      <c r="A9" s="9" t="s">
        <v>14</v>
      </c>
      <c r="B9" s="9" t="s">
        <v>15</v>
      </c>
    </row>
    <row r="10" customFormat="false" ht="12.8" hidden="false" customHeight="false" outlineLevel="0" collapsed="false">
      <c r="A10" s="2" t="n">
        <f aca="false">B3</f>
        <v>131</v>
      </c>
      <c r="B10" s="12" t="n">
        <v>0.191632928993632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H1" activeCellId="1" sqref="F12:G12 H1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2" width="22.66"/>
    <col collapsed="false" customWidth="true" hidden="false" outlineLevel="0" max="3" min="3" style="2" width="18.95"/>
    <col collapsed="false" customWidth="true" hidden="false" outlineLevel="0" max="8" min="8" style="2" width="20.4"/>
    <col collapsed="false" customWidth="true" hidden="false" outlineLevel="0" max="11" min="10" style="2" width="19.32"/>
  </cols>
  <sheetData>
    <row r="1" customFormat="false" ht="19.4" hidden="false" customHeight="false" outlineLevel="0" collapsed="false">
      <c r="B1" s="9" t="s">
        <v>11</v>
      </c>
      <c r="C1" s="9" t="s">
        <v>12</v>
      </c>
      <c r="D1" s="13"/>
      <c r="E1" s="13"/>
      <c r="F1" s="13"/>
      <c r="G1" s="13"/>
      <c r="H1" s="13" t="s">
        <v>108</v>
      </c>
      <c r="I1" s="13" t="s">
        <v>14</v>
      </c>
      <c r="J1" s="13" t="s">
        <v>109</v>
      </c>
      <c r="K1" s="13" t="s">
        <v>16</v>
      </c>
    </row>
    <row r="2" customFormat="false" ht="12.8" hidden="false" customHeight="false" outlineLevel="0" collapsed="false">
      <c r="A2" s="13" t="s">
        <v>110</v>
      </c>
    </row>
    <row r="3" customFormat="false" ht="12.8" hidden="false" customHeight="false" outlineLevel="0" collapsed="false">
      <c r="A3" s="12" t="n">
        <v>1</v>
      </c>
      <c r="B3" s="2" t="n">
        <v>0.825587383221469</v>
      </c>
      <c r="C3" s="2" t="n">
        <v>0.0379012701789772</v>
      </c>
      <c r="H3" s="13" t="n">
        <f aca="false">CORREL(B3:B27,C3:C27)</f>
        <v>0.0209886393601914</v>
      </c>
      <c r="I3" s="13" t="n">
        <f aca="false">COUNT(C3:C27)</f>
        <v>25</v>
      </c>
      <c r="J3" s="13" t="n">
        <f aca="false">H3*SQRT((I3-2)/(1-H3^2))</f>
        <v>0.100680156679275</v>
      </c>
      <c r="K3" s="13" t="n">
        <f aca="false">_xlfn.T.DIST.2T(ABS(J3),I3-2)</f>
        <v>0.920676864536328</v>
      </c>
    </row>
    <row r="4" customFormat="false" ht="12.8" hidden="false" customHeight="false" outlineLevel="0" collapsed="false">
      <c r="A4" s="12" t="n">
        <v>2</v>
      </c>
      <c r="B4" s="2" t="n">
        <v>0.784325401049142</v>
      </c>
      <c r="C4" s="2" t="n">
        <v>0.101351662352213</v>
      </c>
    </row>
    <row r="5" customFormat="false" ht="12.8" hidden="false" customHeight="false" outlineLevel="0" collapsed="false">
      <c r="A5" s="12" t="n">
        <v>3</v>
      </c>
      <c r="B5" s="2" t="n">
        <v>0.74701543366489</v>
      </c>
      <c r="C5" s="2" t="n">
        <v>0.0485690188800918</v>
      </c>
    </row>
    <row r="6" customFormat="false" ht="12.8" hidden="false" customHeight="false" outlineLevel="0" collapsed="false">
      <c r="A6" s="12" t="n">
        <v>4</v>
      </c>
      <c r="B6" s="2" t="n">
        <v>0.742572987280356</v>
      </c>
      <c r="C6" s="2" t="n">
        <v>0.0550587134003557</v>
      </c>
    </row>
    <row r="7" customFormat="false" ht="12.8" hidden="false" customHeight="false" outlineLevel="0" collapsed="false">
      <c r="A7" s="12" t="n">
        <v>5</v>
      </c>
      <c r="B7" s="2" t="n">
        <v>0.638291604257815</v>
      </c>
      <c r="C7" s="2" t="n">
        <v>0.0540609021818939</v>
      </c>
    </row>
    <row r="8" customFormat="false" ht="12.8" hidden="false" customHeight="false" outlineLevel="0" collapsed="false">
      <c r="A8" s="12" t="n">
        <v>6</v>
      </c>
      <c r="B8" s="2" t="n">
        <v>0.770021861028678</v>
      </c>
      <c r="C8" s="2" t="n">
        <v>0.0668612247121203</v>
      </c>
    </row>
    <row r="9" customFormat="false" ht="12.8" hidden="false" customHeight="false" outlineLevel="0" collapsed="false">
      <c r="A9" s="12" t="n">
        <v>7</v>
      </c>
      <c r="B9" s="2" t="n">
        <v>0.776708177030339</v>
      </c>
      <c r="C9" s="2" t="n">
        <v>0.0934612421169117</v>
      </c>
    </row>
    <row r="10" customFormat="false" ht="12.8" hidden="false" customHeight="false" outlineLevel="0" collapsed="false">
      <c r="A10" s="12" t="n">
        <v>8</v>
      </c>
      <c r="B10" s="2" t="n">
        <v>0.766895136055456</v>
      </c>
      <c r="C10" s="2" t="n">
        <v>0.0650372413114497</v>
      </c>
    </row>
    <row r="11" customFormat="false" ht="12.8" hidden="false" customHeight="false" outlineLevel="0" collapsed="false">
      <c r="A11" s="12" t="n">
        <v>9</v>
      </c>
      <c r="B11" s="2" t="n">
        <v>0.726865282761305</v>
      </c>
      <c r="C11" s="2" t="n">
        <v>0.0315196362256471</v>
      </c>
    </row>
    <row r="12" customFormat="false" ht="12.8" hidden="false" customHeight="false" outlineLevel="0" collapsed="false">
      <c r="A12" s="12" t="n">
        <v>10</v>
      </c>
      <c r="B12" s="2" t="n">
        <v>0.76670385944117</v>
      </c>
      <c r="C12" s="2" t="n">
        <v>0.0613606114727261</v>
      </c>
    </row>
    <row r="13" customFormat="false" ht="12.8" hidden="false" customHeight="false" outlineLevel="0" collapsed="false">
      <c r="A13" s="12" t="n">
        <v>11</v>
      </c>
      <c r="B13" s="2" t="n">
        <v>0.826512142391129</v>
      </c>
      <c r="C13" s="2" t="n">
        <v>0.0627038264804898</v>
      </c>
    </row>
    <row r="14" customFormat="false" ht="12.8" hidden="false" customHeight="false" outlineLevel="0" collapsed="false">
      <c r="A14" s="12" t="n">
        <v>12</v>
      </c>
      <c r="B14" s="2" t="n">
        <v>0.762736139690589</v>
      </c>
      <c r="C14" s="2" t="n">
        <v>0.125823368973094</v>
      </c>
    </row>
    <row r="15" customFormat="false" ht="12.8" hidden="false" customHeight="false" outlineLevel="0" collapsed="false">
      <c r="A15" s="12" t="n">
        <v>13</v>
      </c>
      <c r="B15" s="2" t="n">
        <v>0.710160103406143</v>
      </c>
      <c r="C15" s="2" t="n">
        <v>0.118473256203689</v>
      </c>
    </row>
    <row r="16" customFormat="false" ht="12.8" hidden="false" customHeight="false" outlineLevel="0" collapsed="false">
      <c r="A16" s="12" t="n">
        <v>14</v>
      </c>
      <c r="B16" s="2" t="n">
        <v>0.734376384357835</v>
      </c>
      <c r="C16" s="2" t="n">
        <v>0.0751254125078604</v>
      </c>
    </row>
    <row r="17" customFormat="false" ht="12.8" hidden="false" customHeight="false" outlineLevel="0" collapsed="false">
      <c r="A17" s="12" t="n">
        <v>15</v>
      </c>
      <c r="B17" s="2" t="n">
        <v>0.756542240061655</v>
      </c>
      <c r="C17" s="2" t="n">
        <v>0.0348392119421119</v>
      </c>
    </row>
    <row r="18" customFormat="false" ht="12.8" hidden="false" customHeight="false" outlineLevel="0" collapsed="false">
      <c r="A18" s="12" t="n">
        <v>16</v>
      </c>
      <c r="B18" s="2" t="n">
        <v>0.773732018127407</v>
      </c>
      <c r="C18" s="2" t="n">
        <v>0.0916570653203118</v>
      </c>
    </row>
    <row r="19" customFormat="false" ht="12.8" hidden="false" customHeight="false" outlineLevel="0" collapsed="false">
      <c r="A19" s="12" t="n">
        <v>17</v>
      </c>
      <c r="B19" s="2" t="n">
        <v>0.812690613075421</v>
      </c>
      <c r="C19" s="2" t="n">
        <v>0.088493558731057</v>
      </c>
    </row>
    <row r="20" customFormat="false" ht="12.8" hidden="false" customHeight="false" outlineLevel="0" collapsed="false">
      <c r="A20" s="12" t="n">
        <v>18</v>
      </c>
      <c r="B20" s="2" t="n">
        <v>0.726488853152379</v>
      </c>
      <c r="C20" s="2" t="n">
        <v>0.098598106437558</v>
      </c>
    </row>
    <row r="21" customFormat="false" ht="12.8" hidden="false" customHeight="false" outlineLevel="0" collapsed="false">
      <c r="A21" s="12" t="n">
        <v>19</v>
      </c>
      <c r="B21" s="2" t="n">
        <v>0.763300559740396</v>
      </c>
      <c r="C21" s="2" t="n">
        <v>0.00160336071826534</v>
      </c>
    </row>
    <row r="22" customFormat="false" ht="12.8" hidden="false" customHeight="false" outlineLevel="0" collapsed="false">
      <c r="A22" s="12" t="n">
        <v>20</v>
      </c>
      <c r="B22" s="2" t="n">
        <v>0.816538134208694</v>
      </c>
      <c r="C22" s="2" t="n">
        <v>0.0648288208628675</v>
      </c>
    </row>
    <row r="23" customFormat="false" ht="12.8" hidden="false" customHeight="false" outlineLevel="0" collapsed="false">
      <c r="A23" s="12" t="n">
        <v>21</v>
      </c>
      <c r="B23" s="2" t="n">
        <v>0.643391428768254</v>
      </c>
      <c r="C23" s="2" t="n">
        <v>0.139308412366767</v>
      </c>
    </row>
    <row r="24" customFormat="false" ht="12.8" hidden="false" customHeight="false" outlineLevel="0" collapsed="false">
      <c r="A24" s="12" t="n">
        <v>22</v>
      </c>
      <c r="B24" s="2" t="n">
        <v>0.769255872522075</v>
      </c>
      <c r="C24" s="2" t="n">
        <v>0.0531559727582721</v>
      </c>
    </row>
    <row r="25" customFormat="false" ht="12.8" hidden="false" customHeight="false" outlineLevel="0" collapsed="false">
      <c r="A25" s="12" t="n">
        <v>23</v>
      </c>
      <c r="B25" s="2" t="n">
        <v>0.684670543211604</v>
      </c>
      <c r="C25" s="2" t="n">
        <v>-0.0501958508791398</v>
      </c>
    </row>
    <row r="26" customFormat="false" ht="12.8" hidden="false" customHeight="false" outlineLevel="0" collapsed="false">
      <c r="A26" s="12" t="n">
        <v>24</v>
      </c>
      <c r="B26" s="2" t="n">
        <v>0.758491886581855</v>
      </c>
      <c r="C26" s="2" t="n">
        <v>0.0944764871549483</v>
      </c>
    </row>
    <row r="27" customFormat="false" ht="12.8" hidden="false" customHeight="false" outlineLevel="0" collapsed="false">
      <c r="A27" s="12" t="n">
        <v>25</v>
      </c>
      <c r="B27" s="2" t="n">
        <v>0.727230413998473</v>
      </c>
      <c r="C27" s="2" t="n">
        <v>0.0309322896060542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60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F12" activeCellId="0" sqref="F12:G12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2" width="13.67"/>
    <col collapsed="false" customWidth="true" hidden="false" outlineLevel="0" max="3" min="3" style="2" width="19.32"/>
    <col collapsed="false" customWidth="true" hidden="false" outlineLevel="0" max="5" min="5" style="2" width="20.4"/>
    <col collapsed="false" customWidth="true" hidden="false" outlineLevel="0" max="6" min="6" style="2" width="19.32"/>
    <col collapsed="false" customWidth="true" hidden="false" outlineLevel="0" max="8" min="7" style="2" width="21.95"/>
    <col collapsed="false" customWidth="true" hidden="false" outlineLevel="0" max="9" min="9" style="2" width="21.82"/>
    <col collapsed="false" customWidth="true" hidden="false" outlineLevel="0" max="10" min="10" style="2" width="20.27"/>
  </cols>
  <sheetData>
    <row r="2" customFormat="false" ht="12.8" hidden="false" customHeight="true" outlineLevel="0" collapsed="false">
      <c r="B2" s="14" t="s">
        <v>111</v>
      </c>
      <c r="C2" s="14"/>
    </row>
    <row r="3" customFormat="false" ht="12.8" hidden="false" customHeight="false" outlineLevel="0" collapsed="false">
      <c r="B3" s="13" t="s">
        <v>112</v>
      </c>
      <c r="C3" s="13" t="s">
        <v>113</v>
      </c>
      <c r="E3" s="13" t="s">
        <v>114</v>
      </c>
      <c r="F3" s="13" t="s">
        <v>115</v>
      </c>
      <c r="G3" s="13" t="s">
        <v>116</v>
      </c>
      <c r="H3" s="13" t="s">
        <v>117</v>
      </c>
      <c r="I3" s="13" t="s">
        <v>118</v>
      </c>
      <c r="J3" s="13" t="s">
        <v>119</v>
      </c>
    </row>
    <row r="4" customFormat="false" ht="12.8" hidden="false" customHeight="false" outlineLevel="0" collapsed="false">
      <c r="A4" s="13" t="n">
        <v>1</v>
      </c>
      <c r="B4" s="2" t="n">
        <v>0.825587383221469</v>
      </c>
      <c r="C4" s="12" t="n">
        <v>0.814239110206597</v>
      </c>
      <c r="E4" s="13" t="n">
        <f aca="false">_xlfn.STDEV.S(B4:B28)</f>
        <v>0.0481466888380114</v>
      </c>
      <c r="F4" s="13" t="n">
        <f aca="false">_xlfn.STDEV.S(C4:C28)</f>
        <v>0.115777622594574</v>
      </c>
      <c r="G4" s="13" t="n">
        <f aca="false">_xlfn.F.TEST(B4:B28,C4:C28)</f>
        <v>5.75704787239235E-005</v>
      </c>
      <c r="H4" s="13" t="n">
        <f aca="false">_xlfn.T.TEST(B4:B28, C4:C28, 2,2)</f>
        <v>2.86430418915093E-011</v>
      </c>
      <c r="I4" s="13" t="n">
        <f aca="false">_xlfn.T.TEST(B4:B28,C4:C28, 2,3)</f>
        <v>7.99816645335171E-010</v>
      </c>
      <c r="J4" s="13" t="n">
        <f aca="false">AVERAGE(B4:B28)-AVERAGE(C4:C28)</f>
        <v>0.215430118295798</v>
      </c>
    </row>
    <row r="5" customFormat="false" ht="12.8" hidden="false" customHeight="false" outlineLevel="0" collapsed="false">
      <c r="A5" s="13" t="n">
        <v>2</v>
      </c>
      <c r="B5" s="2" t="n">
        <v>0.784325401049142</v>
      </c>
      <c r="C5" s="12" t="n">
        <v>0.490374312148473</v>
      </c>
    </row>
    <row r="6" customFormat="false" ht="12.8" hidden="false" customHeight="false" outlineLevel="0" collapsed="false">
      <c r="A6" s="13" t="n">
        <v>3</v>
      </c>
      <c r="B6" s="2" t="n">
        <v>0.74701543366489</v>
      </c>
      <c r="C6" s="12" t="n">
        <v>0.511020333673144</v>
      </c>
    </row>
    <row r="7" customFormat="false" ht="12.8" hidden="false" customHeight="false" outlineLevel="0" collapsed="false">
      <c r="A7" s="13" t="n">
        <v>4</v>
      </c>
      <c r="B7" s="2" t="n">
        <v>0.742572987280356</v>
      </c>
      <c r="C7" s="12" t="n">
        <v>0.732127465170909</v>
      </c>
    </row>
    <row r="8" customFormat="false" ht="12.8" hidden="false" customHeight="false" outlineLevel="0" collapsed="false">
      <c r="A8" s="13" t="n">
        <v>5</v>
      </c>
      <c r="B8" s="2" t="n">
        <v>0.638291604257815</v>
      </c>
      <c r="C8" s="12" t="n">
        <v>0.504587895177563</v>
      </c>
      <c r="E8" s="15" t="s">
        <v>120</v>
      </c>
    </row>
    <row r="9" customFormat="false" ht="12.8" hidden="false" customHeight="false" outlineLevel="0" collapsed="false">
      <c r="A9" s="13" t="n">
        <v>6</v>
      </c>
      <c r="B9" s="2" t="n">
        <v>0.770021861028678</v>
      </c>
      <c r="C9" s="12" t="n">
        <v>0.622216951394874</v>
      </c>
      <c r="E9" s="2" t="s">
        <v>121</v>
      </c>
      <c r="F9" s="2" t="n">
        <v>0.05</v>
      </c>
    </row>
    <row r="10" customFormat="false" ht="19.4" hidden="false" customHeight="false" outlineLevel="0" collapsed="false">
      <c r="A10" s="13" t="n">
        <v>7</v>
      </c>
      <c r="B10" s="2" t="n">
        <v>0.776708177030339</v>
      </c>
      <c r="C10" s="12" t="n">
        <v>0.568213401724064</v>
      </c>
      <c r="E10" s="2" t="s">
        <v>122</v>
      </c>
      <c r="F10" s="2" t="n">
        <v>0</v>
      </c>
    </row>
    <row r="11" customFormat="false" ht="12.8" hidden="false" customHeight="false" outlineLevel="0" collapsed="false">
      <c r="A11" s="13" t="n">
        <v>8</v>
      </c>
      <c r="B11" s="2" t="n">
        <v>0.766895136055456</v>
      </c>
      <c r="C11" s="12" t="n">
        <v>0.41336820596451</v>
      </c>
      <c r="F11" s="15" t="s">
        <v>123</v>
      </c>
      <c r="G11" s="15" t="s">
        <v>124</v>
      </c>
    </row>
    <row r="12" customFormat="false" ht="12.8" hidden="false" customHeight="false" outlineLevel="0" collapsed="false">
      <c r="A12" s="13" t="n">
        <v>9</v>
      </c>
      <c r="B12" s="2" t="n">
        <v>0.726865282761305</v>
      </c>
      <c r="C12" s="12" t="n">
        <v>0.469619098748715</v>
      </c>
      <c r="E12" s="2" t="s">
        <v>125</v>
      </c>
      <c r="F12" s="2" t="n">
        <f aca="false">AVERAGE(inter_system_stats!$B$3:$B$28)</f>
        <v>0.752444178363381</v>
      </c>
      <c r="G12" s="2" t="n">
        <f aca="false">AVERAGE(inter_system_stats!$C$3:$C$28)</f>
        <v>0.537014060067584</v>
      </c>
    </row>
    <row r="13" customFormat="false" ht="12.8" hidden="false" customHeight="false" outlineLevel="0" collapsed="false">
      <c r="A13" s="13" t="n">
        <v>10</v>
      </c>
      <c r="B13" s="2" t="n">
        <v>0.76670385944117</v>
      </c>
      <c r="C13" s="12" t="n">
        <v>0.702597542452374</v>
      </c>
      <c r="E13" s="2" t="s">
        <v>126</v>
      </c>
      <c r="F13" s="2" t="n">
        <f aca="false">VAR(inter_system_stats!$B$3:$B$28)</f>
        <v>0.00231810364606429</v>
      </c>
      <c r="G13" s="2" t="n">
        <f aca="false">VAR(inter_system_stats!$C$3:$C$28)</f>
        <v>0.0134044578936517</v>
      </c>
    </row>
    <row r="14" customFormat="false" ht="12.8" hidden="false" customHeight="false" outlineLevel="0" collapsed="false">
      <c r="A14" s="13" t="n">
        <v>11</v>
      </c>
      <c r="B14" s="2" t="n">
        <v>0.826512142391129</v>
      </c>
      <c r="C14" s="12" t="n">
        <v>0.535746887825282</v>
      </c>
      <c r="E14" s="2" t="s">
        <v>127</v>
      </c>
      <c r="F14" s="2" t="n">
        <f aca="false">COUNT(inter_system_stats!$B$3:$B$28)</f>
        <v>25</v>
      </c>
      <c r="G14" s="2" t="n">
        <f aca="false">COUNT(inter_system_stats!$C$3:$C$28)</f>
        <v>25</v>
      </c>
    </row>
    <row r="15" customFormat="false" ht="12.8" hidden="false" customHeight="false" outlineLevel="0" collapsed="false">
      <c r="A15" s="13" t="n">
        <v>12</v>
      </c>
      <c r="B15" s="2" t="n">
        <v>0.762736139690589</v>
      </c>
      <c r="C15" s="12" t="n">
        <v>0.616806330672693</v>
      </c>
      <c r="E15" s="2" t="s">
        <v>128</v>
      </c>
      <c r="F15" s="2" t="n">
        <f aca="false">CORREL(inter_system_stats!$B$3:$B$28,inter_system_stats!$C$3:$C$28)</f>
        <v>0.473160625562949</v>
      </c>
    </row>
    <row r="16" customFormat="false" ht="19.4" hidden="false" customHeight="false" outlineLevel="0" collapsed="false">
      <c r="A16" s="13" t="n">
        <v>13</v>
      </c>
      <c r="B16" s="2" t="n">
        <v>0.710160103406143</v>
      </c>
      <c r="C16" s="12" t="n">
        <v>0.526308913298082</v>
      </c>
      <c r="E16" s="2" t="s">
        <v>129</v>
      </c>
      <c r="F16" s="2" t="n">
        <f aca="false" t="array" ref="F16:F16">AVERAGE(IF(ISODD(IF(ISNUMBER(inter_system_stats!$B$3:$B$28), 1, 0) * IF(ISNUMBER(inter_system_stats!$C$3:$C$28), 1, 0)), inter_system_stats!$B$3:$B$28 - inter_system_stats!$C$3:$C$28, "NA"))</f>
        <v>0.215430118295798</v>
      </c>
    </row>
    <row r="17" customFormat="false" ht="19.4" hidden="false" customHeight="false" outlineLevel="0" collapsed="false">
      <c r="A17" s="13" t="n">
        <v>14</v>
      </c>
      <c r="B17" s="2" t="n">
        <v>0.734376384357835</v>
      </c>
      <c r="C17" s="12" t="n">
        <v>0.427683818632696</v>
      </c>
      <c r="E17" s="2" t="s">
        <v>130</v>
      </c>
      <c r="F17" s="2" t="n">
        <f aca="false" t="array" ref="F17:F17">VAR(IF(ISODD(IF(ISNUMBER(inter_system_stats!$B$3:$B$28), 1, 0) * IF(ISNUMBER(inter_system_stats!$C$3:$C$28), 1, 0)), inter_system_stats!$B$3:$B$28 - inter_system_stats!$C$3:$C$28, "NA"))</f>
        <v>0.0104474743123047</v>
      </c>
    </row>
    <row r="18" customFormat="false" ht="12.8" hidden="false" customHeight="false" outlineLevel="0" collapsed="false">
      <c r="A18" s="13" t="n">
        <v>15</v>
      </c>
      <c r="B18" s="2" t="n">
        <v>0.756542240061655</v>
      </c>
      <c r="C18" s="12" t="n">
        <v>0.575658160345531</v>
      </c>
      <c r="E18" s="2" t="s">
        <v>131</v>
      </c>
      <c r="F18" s="2" t="n">
        <f aca="false" t="array" ref="F18:F18">SUM(IF(ISNUMBER(inter_system_stats!$B$3:$B$28), 1, 0) * IF(ISNUMBER(inter_system_stats!$C$3:$C$28), 1, 0)) - 1</f>
        <v>24</v>
      </c>
    </row>
    <row r="19" customFormat="false" ht="12.8" hidden="false" customHeight="false" outlineLevel="0" collapsed="false">
      <c r="A19" s="13" t="n">
        <v>16</v>
      </c>
      <c r="B19" s="2" t="n">
        <v>0.773732018127407</v>
      </c>
      <c r="C19" s="12" t="n">
        <v>0.577045877569951</v>
      </c>
      <c r="E19" s="2" t="s">
        <v>132</v>
      </c>
      <c r="F19" s="2" t="n">
        <f aca="false">(inter_system_stats!$F$16 - inter_system_stats!$F$10) / (inter_system_stats!$F$17 / ( inter_system_stats!$F$18 + 1)) ^ 0.5</f>
        <v>10.5383051086322</v>
      </c>
    </row>
    <row r="20" customFormat="false" ht="12.8" hidden="false" customHeight="false" outlineLevel="0" collapsed="false">
      <c r="A20" s="13" t="n">
        <v>17</v>
      </c>
      <c r="B20" s="2" t="n">
        <v>0.812690613075421</v>
      </c>
      <c r="C20" s="12" t="n">
        <v>0.651295774227774</v>
      </c>
      <c r="E20" s="2" t="s">
        <v>133</v>
      </c>
      <c r="F20" s="2" t="n">
        <f aca="false">TDIST(ABS(inter_system_stats!$F$19), inter_system_stats!$F$18, 1)</f>
        <v>8.74173179734915E-011</v>
      </c>
    </row>
    <row r="21" customFormat="false" ht="12.8" hidden="false" customHeight="false" outlineLevel="0" collapsed="false">
      <c r="A21" s="13" t="n">
        <v>18</v>
      </c>
      <c r="B21" s="2" t="n">
        <v>0.726488853152379</v>
      </c>
      <c r="C21" s="12" t="n">
        <v>0.599275891539331</v>
      </c>
      <c r="E21" s="2" t="s">
        <v>134</v>
      </c>
      <c r="F21" s="2" t="n">
        <f aca="false">TINV(2*inter_system_stats!$F$9, inter_system_stats!$F$18)</f>
        <v>1.71088207990943</v>
      </c>
    </row>
    <row r="22" customFormat="false" ht="12.8" hidden="false" customHeight="false" outlineLevel="0" collapsed="false">
      <c r="A22" s="13" t="n">
        <v>19</v>
      </c>
      <c r="B22" s="2" t="n">
        <v>0.763300559740396</v>
      </c>
      <c r="C22" s="12" t="n">
        <v>0.50621471844151</v>
      </c>
      <c r="E22" s="2" t="s">
        <v>135</v>
      </c>
      <c r="F22" s="2" t="n">
        <f aca="false">TDIST(ABS(inter_system_stats!$F$19), inter_system_stats!$F$18, 2)</f>
        <v>1.74834635946983E-010</v>
      </c>
    </row>
    <row r="23" customFormat="false" ht="12.8" hidden="false" customHeight="false" outlineLevel="0" collapsed="false">
      <c r="A23" s="13" t="n">
        <v>20</v>
      </c>
      <c r="B23" s="2" t="n">
        <v>0.816538134208694</v>
      </c>
      <c r="C23" s="12" t="n">
        <v>0.478099594542392</v>
      </c>
      <c r="E23" s="2" t="s">
        <v>136</v>
      </c>
      <c r="F23" s="2" t="n">
        <f aca="false">TINV(inter_system_stats!$F$9, inter_system_stats!$F$18)</f>
        <v>2.06389856162803</v>
      </c>
    </row>
    <row r="24" customFormat="false" ht="12.8" hidden="false" customHeight="false" outlineLevel="0" collapsed="false">
      <c r="A24" s="13" t="n">
        <v>21</v>
      </c>
      <c r="B24" s="2" t="n">
        <v>0.643391428768254</v>
      </c>
      <c r="C24" s="12" t="n">
        <v>0.382151937725075</v>
      </c>
    </row>
    <row r="25" customFormat="false" ht="12.8" hidden="false" customHeight="false" outlineLevel="0" collapsed="false">
      <c r="A25" s="13" t="n">
        <v>22</v>
      </c>
      <c r="B25" s="2" t="n">
        <v>0.769255872522075</v>
      </c>
      <c r="C25" s="12" t="n">
        <v>0.428068760639408</v>
      </c>
    </row>
    <row r="26" customFormat="false" ht="12.8" hidden="false" customHeight="false" outlineLevel="0" collapsed="false">
      <c r="A26" s="13" t="n">
        <v>23</v>
      </c>
      <c r="B26" s="2" t="n">
        <v>0.684670543211604</v>
      </c>
      <c r="C26" s="12" t="n">
        <v>0.344371087443739</v>
      </c>
    </row>
    <row r="27" customFormat="false" ht="12.8" hidden="false" customHeight="false" outlineLevel="0" collapsed="false">
      <c r="A27" s="13" t="n">
        <v>24</v>
      </c>
      <c r="B27" s="2" t="n">
        <v>0.758491886581855</v>
      </c>
      <c r="C27" s="12" t="n">
        <v>0.582850658814915</v>
      </c>
    </row>
    <row r="28" customFormat="false" ht="12.8" hidden="false" customHeight="false" outlineLevel="0" collapsed="false">
      <c r="A28" s="13" t="n">
        <v>25</v>
      </c>
      <c r="B28" s="2" t="n">
        <v>0.727230413998473</v>
      </c>
      <c r="C28" s="12" t="n">
        <v>0.365408773309983</v>
      </c>
    </row>
    <row r="34" customFormat="false" ht="25.05" hidden="false" customHeight="true" outlineLevel="0" collapsed="false">
      <c r="B34" s="14" t="s">
        <v>111</v>
      </c>
      <c r="C34" s="14"/>
    </row>
    <row r="35" customFormat="false" ht="12.8" hidden="false" customHeight="false" outlineLevel="0" collapsed="false">
      <c r="B35" s="13" t="s">
        <v>112</v>
      </c>
      <c r="C35" s="13" t="s">
        <v>137</v>
      </c>
      <c r="E35" s="13" t="s">
        <v>114</v>
      </c>
      <c r="F35" s="13" t="s">
        <v>138</v>
      </c>
      <c r="G35" s="13" t="s">
        <v>116</v>
      </c>
      <c r="H35" s="13" t="s">
        <v>117</v>
      </c>
      <c r="I35" s="13" t="s">
        <v>118</v>
      </c>
      <c r="J35" s="13" t="s">
        <v>119</v>
      </c>
    </row>
    <row r="36" customFormat="false" ht="12.8" hidden="false" customHeight="false" outlineLevel="0" collapsed="false">
      <c r="B36" s="2" t="n">
        <v>0.825587383221469</v>
      </c>
      <c r="C36" s="13" t="n">
        <v>0.842837131615738</v>
      </c>
      <c r="E36" s="13" t="n">
        <f aca="false">_xlfn.STDEV.S(B36:B60)</f>
        <v>0.0481466888380114</v>
      </c>
      <c r="F36" s="13" t="n">
        <f aca="false">_xlfn.STDEV.S(C36:C60)</f>
        <v>0.0449889836669305</v>
      </c>
      <c r="G36" s="13" t="n">
        <f aca="false">_xlfn.F.TEST(B36:B60,C36:C60)</f>
        <v>0.74234199872731</v>
      </c>
      <c r="H36" s="13" t="n">
        <f aca="false">_xlfn.T.TEST(B36:B60, C36:C60, 2,2)</f>
        <v>0.985677654909063</v>
      </c>
      <c r="I36" s="13" t="n">
        <f aca="false">_xlfn.T.TEST(B36:B60,C36:C60, 2,3)</f>
        <v>0.985677997109498</v>
      </c>
      <c r="J36" s="13" t="n">
        <f aca="false">AVERAGE(B36:B60)-AVERAGE(C36:C60)</f>
        <v>0.000237815655167895</v>
      </c>
    </row>
    <row r="37" customFormat="false" ht="12.8" hidden="false" customHeight="false" outlineLevel="0" collapsed="false">
      <c r="B37" s="2" t="n">
        <v>0.784325401049142</v>
      </c>
      <c r="C37" s="13" t="n">
        <v>0.75574434703051</v>
      </c>
    </row>
    <row r="38" customFormat="false" ht="12.8" hidden="false" customHeight="false" outlineLevel="0" collapsed="false">
      <c r="B38" s="2" t="n">
        <v>0.74701543366489</v>
      </c>
      <c r="C38" s="13" t="n">
        <v>0.75246138552499</v>
      </c>
    </row>
    <row r="39" customFormat="false" ht="12.8" hidden="false" customHeight="false" outlineLevel="0" collapsed="false">
      <c r="B39" s="2" t="n">
        <v>0.742572987280356</v>
      </c>
      <c r="C39" s="13" t="n">
        <v>0.755239937675953</v>
      </c>
    </row>
    <row r="40" customFormat="false" ht="12.8" hidden="false" customHeight="false" outlineLevel="0" collapsed="false">
      <c r="B40" s="2" t="n">
        <v>0.638291604257815</v>
      </c>
      <c r="C40" s="13" t="n">
        <v>0.68196906691827</v>
      </c>
    </row>
    <row r="41" customFormat="false" ht="12.8" hidden="false" customHeight="false" outlineLevel="0" collapsed="false">
      <c r="B41" s="2" t="n">
        <v>0.770021861028678</v>
      </c>
      <c r="C41" s="13" t="n">
        <v>0.805094582904182</v>
      </c>
    </row>
    <row r="42" customFormat="false" ht="12.8" hidden="false" customHeight="false" outlineLevel="0" collapsed="false">
      <c r="B42" s="2" t="n">
        <v>0.776708177030339</v>
      </c>
      <c r="C42" s="13" t="n">
        <v>0.731449097356676</v>
      </c>
    </row>
    <row r="43" customFormat="false" ht="12.8" hidden="false" customHeight="false" outlineLevel="0" collapsed="false">
      <c r="B43" s="2" t="n">
        <v>0.766895136055456</v>
      </c>
      <c r="C43" s="13" t="n">
        <v>0.798699397007465</v>
      </c>
    </row>
    <row r="44" customFormat="false" ht="12.8" hidden="false" customHeight="false" outlineLevel="0" collapsed="false">
      <c r="B44" s="2" t="n">
        <v>0.726865282761305</v>
      </c>
      <c r="C44" s="13" t="n">
        <v>0.751181065835833</v>
      </c>
    </row>
    <row r="45" customFormat="false" ht="12.8" hidden="false" customHeight="false" outlineLevel="0" collapsed="false">
      <c r="B45" s="2" t="n">
        <v>0.76670385944117</v>
      </c>
      <c r="C45" s="13" t="n">
        <v>0.780317010541866</v>
      </c>
    </row>
    <row r="46" customFormat="false" ht="12.8" hidden="false" customHeight="false" outlineLevel="0" collapsed="false">
      <c r="B46" s="2" t="n">
        <v>0.826512142391129</v>
      </c>
      <c r="C46" s="13" t="n">
        <v>0.788964918757002</v>
      </c>
    </row>
    <row r="47" customFormat="false" ht="12.8" hidden="false" customHeight="false" outlineLevel="0" collapsed="false">
      <c r="B47" s="2" t="n">
        <v>0.762736139690589</v>
      </c>
      <c r="C47" s="13" t="n">
        <v>0.744429655439828</v>
      </c>
    </row>
    <row r="48" customFormat="false" ht="12.8" hidden="false" customHeight="false" outlineLevel="0" collapsed="false">
      <c r="B48" s="2" t="n">
        <v>0.710160103406143</v>
      </c>
      <c r="C48" s="13" t="n">
        <v>0.764347939487069</v>
      </c>
    </row>
    <row r="49" customFormat="false" ht="12.8" hidden="false" customHeight="false" outlineLevel="0" collapsed="false">
      <c r="B49" s="2" t="n">
        <v>0.734376384357835</v>
      </c>
      <c r="C49" s="13" t="n">
        <v>0.716647920997565</v>
      </c>
    </row>
    <row r="50" customFormat="false" ht="12.8" hidden="false" customHeight="false" outlineLevel="0" collapsed="false">
      <c r="B50" s="2" t="n">
        <v>0.756542240061655</v>
      </c>
      <c r="C50" s="13" t="n">
        <v>0.761929247616581</v>
      </c>
    </row>
    <row r="51" customFormat="false" ht="12.8" hidden="false" customHeight="false" outlineLevel="0" collapsed="false">
      <c r="B51" s="2" t="n">
        <v>0.773732018127407</v>
      </c>
      <c r="C51" s="13" t="n">
        <v>0.742748731630287</v>
      </c>
    </row>
    <row r="52" customFormat="false" ht="12.8" hidden="false" customHeight="false" outlineLevel="0" collapsed="false">
      <c r="B52" s="2" t="n">
        <v>0.812690613075421</v>
      </c>
      <c r="C52" s="13" t="n">
        <v>0.764209873398772</v>
      </c>
    </row>
    <row r="53" customFormat="false" ht="12.8" hidden="false" customHeight="false" outlineLevel="0" collapsed="false">
      <c r="B53" s="2" t="n">
        <v>0.726488853152379</v>
      </c>
      <c r="C53" s="13" t="n">
        <v>0.700796274261234</v>
      </c>
    </row>
    <row r="54" customFormat="false" ht="12.8" hidden="false" customHeight="false" outlineLevel="0" collapsed="false">
      <c r="B54" s="2" t="n">
        <v>0.763300559740396</v>
      </c>
      <c r="C54" s="13" t="n">
        <v>0.716284059047156</v>
      </c>
    </row>
    <row r="55" customFormat="false" ht="12.8" hidden="false" customHeight="false" outlineLevel="0" collapsed="false">
      <c r="B55" s="2" t="n">
        <v>0.816538134208694</v>
      </c>
      <c r="C55" s="13" t="n">
        <v>0.839023541568098</v>
      </c>
    </row>
    <row r="56" customFormat="false" ht="12.8" hidden="false" customHeight="false" outlineLevel="0" collapsed="false">
      <c r="B56" s="2" t="n">
        <v>0.643391428768254</v>
      </c>
      <c r="C56" s="13" t="n">
        <v>0.704024831920364</v>
      </c>
    </row>
    <row r="57" customFormat="false" ht="12.8" hidden="false" customHeight="false" outlineLevel="0" collapsed="false">
      <c r="B57" s="2" t="n">
        <v>0.769255872522075</v>
      </c>
      <c r="C57" s="13" t="n">
        <v>0.684998594155911</v>
      </c>
    </row>
    <row r="58" customFormat="false" ht="12.8" hidden="false" customHeight="false" outlineLevel="0" collapsed="false">
      <c r="B58" s="2" t="n">
        <v>0.684670543211604</v>
      </c>
      <c r="C58" s="13" t="n">
        <v>0.69681187759039</v>
      </c>
    </row>
    <row r="59" customFormat="false" ht="12.8" hidden="false" customHeight="false" outlineLevel="0" collapsed="false">
      <c r="B59" s="2" t="n">
        <v>0.758491886581855</v>
      </c>
      <c r="C59" s="13" t="n">
        <v>0.809836609324266</v>
      </c>
    </row>
    <row r="60" customFormat="false" ht="12.8" hidden="false" customHeight="false" outlineLevel="0" collapsed="false">
      <c r="B60" s="2" t="n">
        <v>0.727230413998473</v>
      </c>
      <c r="C60" s="13" t="n">
        <v>0.715111970099327</v>
      </c>
    </row>
  </sheetData>
  <mergeCells count="2">
    <mergeCell ref="B2:C2"/>
    <mergeCell ref="B34:C3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2026-02-20T14:18:35Z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
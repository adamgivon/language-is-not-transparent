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3_hybrid" sheetId="1" state="visible" r:id="rId3"/>
    <sheet name="Notes" sheetId="2" state="visible" r:id="rId4"/>
    <sheet name="actdel_prompt_response" sheetId="3" state="visible" r:id="rId5"/>
    <sheet name="inter_scenario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<sst xmlns="http://schemas.openxmlformats.org/spreadsheetml/2006/main" count="910" uniqueCount="122">
  <si>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</si>
  <si>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</si>
  <si>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</si>
  <si>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</si>
  <si>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</si>
  <si>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</si>
  <si>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</si>
  <si>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</si>
  <si>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</si>
  <si>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</si>
  <si>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activating delta</t>
  </si>
  <si>
    <t xml:space="preserve">prompt_to_response</t>
  </si>
  <si>
    <t xml:space="preserve">average conversation activation</t>
  </si>
  <si>
    <t xml:space="preserve">count</t>
  </si>
  <si>
    <t xml:space="preserve">correlation weights / activation delta</t>
  </si>
  <si>
    <t xml:space="preserve">p</t>
  </si>
  <si>
    <t xml:space="preserve">01674cbc-16c6-4764-924b-0bf402873485</t>
  </si>
  <si>
    <t xml:space="preserve">cmjb62s7u000kzchrr1b9f6i2</t>
  </si>
  <si>
    <t xml:space="preserve">cmjb63pi70011zchrx8l5k9nk</t>
  </si>
  <si>
    <t xml:space="preserve">hybrid_v3_5</t>
  </si>
  <si>
    <t xml:space="preserve">Scenario_3_drone</t>
  </si>
  <si>
    <t xml:space="preserve">practicality_and_feasibility</t>
  </si>
  <si>
    <t xml:space="preserve">mathematics_computer_science_engineering</t>
  </si>
  <si>
    <t xml:space="preserve">affective_interface</t>
  </si>
  <si>
    <t xml:space="preserve">imagination_and_possibility</t>
  </si>
  <si>
    <t xml:space="preserve">temporal_dynamics</t>
  </si>
  <si>
    <t xml:space="preserve">truth_and_fact</t>
  </si>
  <si>
    <t xml:space="preserve">41b26793-5801-42d3-8e8c-fed51cdfaea3</t>
  </si>
  <si>
    <t xml:space="preserve">cmjb652ch0015zchrjc91cof2</t>
  </si>
  <si>
    <t xml:space="preserve">cmjb65q9z001mzchrex7uktnh</t>
  </si>
  <si>
    <t xml:space="preserve">freedom_and_limitations</t>
  </si>
  <si>
    <t xml:space="preserve">399e8ec9-73db-4ad0-932a-c3f644813ba5</t>
  </si>
  <si>
    <t xml:space="preserve">cmjb66haj001qzchrkc016ffb</t>
  </si>
  <si>
    <t xml:space="preserve">cmjb67ccm0027zchr78dzzl9f</t>
  </si>
  <si>
    <t xml:space="preserve">metaphorical_scaffolding</t>
  </si>
  <si>
    <t xml:space="preserve">663479c4-1bc2-4704-876d-28119e9bc908</t>
  </si>
  <si>
    <t xml:space="preserve">cmjb6azjo002bzchrjlprd16s</t>
  </si>
  <si>
    <t xml:space="preserve">cmjb6bu04002szchrd35jjypv</t>
  </si>
  <si>
    <t xml:space="preserve">9f0c8e64-5729-4c6a-a27c-0f8f32c894d9</t>
  </si>
  <si>
    <t xml:space="preserve">cmjb6chtp002wzchr042ov2o3</t>
  </si>
  <si>
    <t xml:space="preserve">cmjb6d7ck003dzchr9y0nlmpn</t>
  </si>
  <si>
    <t xml:space="preserve">sovereignty</t>
  </si>
  <si>
    <t xml:space="preserve">a893a8c2-e6b3-4405-a3d5-96d44fbe1f7b</t>
  </si>
  <si>
    <t xml:space="preserve">cmjb6gdig003hzchrhbasfoej</t>
  </si>
  <si>
    <t xml:space="preserve">cmjb6h2kr003yzchrp67wvbj5</t>
  </si>
  <si>
    <t xml:space="preserve">19f12ff0-e59d-4249-8e99-b3a9ae5d7e7f</t>
  </si>
  <si>
    <t xml:space="preserve">cmjb6iu3o0042zchrqwan9lnq</t>
  </si>
  <si>
    <t xml:space="preserve">cmjb6j9z1004jzchr9lf3qit2</t>
  </si>
  <si>
    <t xml:space="preserve">e4db1291-d1e4-49b4-ab04-f9ff22961603</t>
  </si>
  <si>
    <t xml:space="preserve">cmjb6jufk004nzchrgd6b1owi</t>
  </si>
  <si>
    <t xml:space="preserve">cmjb6kg100054zchrmlgxlflk</t>
  </si>
  <si>
    <t xml:space="preserve">586afd62-5360-49f3-949e-cc6d78fd3a18</t>
  </si>
  <si>
    <t xml:space="preserve">cmjb6lnvu0058zchrv2zjim44</t>
  </si>
  <si>
    <t xml:space="preserve">cmjb6m59d005pzchrhpxy5yhj</t>
  </si>
  <si>
    <t xml:space="preserve">identity</t>
  </si>
  <si>
    <t xml:space="preserve">electricity</t>
  </si>
  <si>
    <t xml:space="preserve">f22f39f0-abcb-4f7f-8ab3-b2fd3daa8847</t>
  </si>
  <si>
    <t xml:space="preserve">cmjb6mglp005tzchr94pbg2aq</t>
  </si>
  <si>
    <t xml:space="preserve">cmjb6n616006azchr6eawx2rd</t>
  </si>
  <si>
    <t xml:space="preserve">science</t>
  </si>
  <si>
    <t xml:space="preserve">f201946b-72fa-4c53-8cb2-7591ceb39a1c</t>
  </si>
  <si>
    <t xml:space="preserve">cmjb6nq8b006ezchrizilliyg</t>
  </si>
  <si>
    <t xml:space="preserve">cmjb6ojpo006vzchrvjdozu5b</t>
  </si>
  <si>
    <t xml:space="preserve">7c113cdf-99d1-4732-94e5-6b2675270dce</t>
  </si>
  <si>
    <t xml:space="preserve">cmjb6oyf6006zzchr243xbwe5</t>
  </si>
  <si>
    <t xml:space="preserve">cmjb6ppyf007gzchrgq4mllmh</t>
  </si>
  <si>
    <t xml:space="preserve">54757e90-90f0-4ea1-86f3-9fcb2a68041f</t>
  </si>
  <si>
    <t xml:space="preserve">cmjb6qywu007kzchrs0knfq02</t>
  </si>
  <si>
    <t xml:space="preserve">cmjb6rsxd0081zchrgt7maf21</t>
  </si>
  <si>
    <t xml:space="preserve">29b1dacb-9de0-4e4d-9bb5-78155b329126</t>
  </si>
  <si>
    <t xml:space="preserve">cmjb6tr480085zchr7knfnd6d</t>
  </si>
  <si>
    <t xml:space="preserve">cmjb6ugxb008mzchrtid0nlrs</t>
  </si>
  <si>
    <t xml:space="preserve">83986dbb-e56b-4d96-8954-88c59b8da06f</t>
  </si>
  <si>
    <t xml:space="preserve">cmjb6vag2008qzchr2fmijeoc</t>
  </si>
  <si>
    <t xml:space="preserve">cmjb6vqwp0097zchryb78gc84</t>
  </si>
  <si>
    <t xml:space="preserve">41b747d9-a370-4610-9d77-5ee15de047aa</t>
  </si>
  <si>
    <t xml:space="preserve">cmjb6wj43009bzchry7ed41p6</t>
  </si>
  <si>
    <t xml:space="preserve">cmjb6x7cp009szchrq6jg9s30</t>
  </si>
  <si>
    <t xml:space="preserve">9b6c5c29-7b93-46af-8c49-d409f886032a</t>
  </si>
  <si>
    <t xml:space="preserve">cmjb6xshz009wzchrcllgnwq8</t>
  </si>
  <si>
    <t xml:space="preserve">cmjb6ybwl00adzchrvdhjlr5i</t>
  </si>
  <si>
    <t xml:space="preserve">6893d13e-4db1-4625-ae87-bf1d8c115931</t>
  </si>
  <si>
    <t xml:space="preserve">cmjb6ytrg00ahzchrjkqzqsxo</t>
  </si>
  <si>
    <t xml:space="preserve">cmjb6zmi800ayzchrbcmehfp6</t>
  </si>
  <si>
    <t xml:space="preserve">cacb072d-bd31-4bdf-a720-0bf21e50d0f0</t>
  </si>
  <si>
    <t xml:space="preserve">cmjb70mzm00b2zchrrzpf4evb</t>
  </si>
  <si>
    <t xml:space="preserve">cmjb716p000bjzchr7v7wlb6b</t>
  </si>
  <si>
    <t xml:space="preserve">1874fe18-2135-4380-b4ad-4e3de7a643f1</t>
  </si>
  <si>
    <t xml:space="preserve">cmjb71lbv00bnzchr6djizp8a</t>
  </si>
  <si>
    <t xml:space="preserve">cmjb720ay00c4zchra97due2d</t>
  </si>
  <si>
    <t xml:space="preserve">02952dbf-c129-4560-8ba0-a5446bd162ba</t>
  </si>
  <si>
    <t xml:space="preserve">cmjb72pm100c8zchrsrmcpok1</t>
  </si>
  <si>
    <t xml:space="preserve">cmjb73gyd00cpzchrn05q7c8e</t>
  </si>
  <si>
    <t xml:space="preserve">6bd72350-a178-4ee2-800c-37fbba125d6a</t>
  </si>
  <si>
    <t xml:space="preserve">cmjb74cg800ctzchrlmi749fu</t>
  </si>
  <si>
    <t xml:space="preserve">cmjb74w5v00dazchr1lqwei1l</t>
  </si>
  <si>
    <t xml:space="preserve">4fa890c3-d8c0-4200-aa27-59ea6602cf1e</t>
  </si>
  <si>
    <t xml:space="preserve">cmjb75wfq00dezchrfeh943py</t>
  </si>
  <si>
    <t xml:space="preserve">cmjb76jz500dvzchrbotublsl</t>
  </si>
  <si>
    <t xml:space="preserve">9c63a9e6-86a0-4662-b1b6-f58ef2488ad9</t>
  </si>
  <si>
    <t xml:space="preserve">cmjb77nbr00dzzchr7vv6rpoz</t>
  </si>
  <si>
    <t xml:space="preserve">cmjb78bva00egzchrdoakim6b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</si>
  <si>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</si>
  <si>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</si>
  <si>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</si>
  <si>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</si>
  <si>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</si>
  <si>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</si>
  <si>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turns</t>
  </si>
  <si>
    <t xml:space="preserve">hybrid</t>
  </si>
  <si>
    <t xml:space="preserve">control</t>
  </si>
  <si>
    <t xml:space="preserve">std. Ac15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</si>
  <si>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</si>
  <si>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</si>
  <si>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</si>
  <si>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</si>
  <si>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</si>
  <si>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average sce</t>
  </si>
  <si>
    <t xml:space="preserve">average control</t>
  </si>
  <si>
    <t xml:space="preserve">Interesting the similarity in std between control and hybrid</t>
  </si>
  <si>
    <t xml:space="preserve">General</t>
  </si>
  <si>
    <t xml:space="preserve">ac15p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</si>
</sst>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center" vertical="center" textRotation="0" wrapText="tru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actdel_prompt_response!$A$3:$A$26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actdel_prompt_response!$B$3:$B$26</c:f>
              <c:numCache>
                <c:formatCode>General</c:formatCode>
                <c:ptCount val="24"/>
                <c:pt idx="0">
                  <c:v>0.815772031466282</c:v>
                </c:pt>
                <c:pt idx="1">
                  <c:v>0.690178981295079</c:v>
                </c:pt>
                <c:pt idx="2">
                  <c:v>0.678236595135105</c:v>
                </c:pt>
                <c:pt idx="3">
                  <c:v>0.599753209767944</c:v>
                </c:pt>
                <c:pt idx="4">
                  <c:v>0.571410730397255</c:v>
                </c:pt>
                <c:pt idx="5">
                  <c:v>0.665331994991001</c:v>
                </c:pt>
                <c:pt idx="6">
                  <c:v>0.834581956795994</c:v>
                </c:pt>
                <c:pt idx="7">
                  <c:v>0.727191552934014</c:v>
                </c:pt>
                <c:pt idx="8">
                  <c:v>0.69768144989318</c:v>
                </c:pt>
                <c:pt idx="9">
                  <c:v>0.619580092617654</c:v>
                </c:pt>
                <c:pt idx="10">
                  <c:v>0.774921176890618</c:v>
                </c:pt>
                <c:pt idx="11">
                  <c:v>0.753553709109679</c:v>
                </c:pt>
                <c:pt idx="12">
                  <c:v>0.672563929439104</c:v>
                </c:pt>
                <c:pt idx="13">
                  <c:v>0.793428445401866</c:v>
                </c:pt>
                <c:pt idx="14">
                  <c:v>0.822215644660448</c:v>
                </c:pt>
                <c:pt idx="15">
                  <c:v>0.635332717811399</c:v>
                </c:pt>
                <c:pt idx="16">
                  <c:v>0.793594653760174</c:v>
                </c:pt>
                <c:pt idx="17">
                  <c:v>0.704871448301166</c:v>
                </c:pt>
                <c:pt idx="18">
                  <c:v>0.807380134018013</c:v>
                </c:pt>
                <c:pt idx="19">
                  <c:v>0.685839894231455</c:v>
                </c:pt>
                <c:pt idx="20">
                  <c:v>0.744532936686859</c:v>
                </c:pt>
                <c:pt idx="21">
                  <c:v>0.793440478998772</c:v>
                </c:pt>
                <c:pt idx="22">
                  <c:v>0.707901607946691</c:v>
                </c:pt>
                <c:pt idx="23">
                  <c:v>0.737835538427487</c:v>
                </c:pt>
              </c:numCache>
            </c:numRef>
          </c:yVal>
          <c:smooth val="0"/>
        </c:ser>
        <c:axId val="32783397"/>
        <c:axId val="68621769"/>
      </c:scatterChart>
      <c:valAx>
        <c:axId val="327833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8621769"/>
        <c:crosses val="autoZero"/>
        <c:crossBetween val="midCat"/>
      </c:valAx>
      <c:valAx>
        <c:axId val="686217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278339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714960</xdr:colOff>
      <xdr:row>2</xdr:row>
      <xdr:rowOff>59400</xdr:rowOff>
    </xdr:from>
    <xdr:to>
      <xdr:col>11</xdr:col>
      <xdr:colOff>49320</xdr:colOff>
      <xdr:row>22</xdr:row>
      <xdr:rowOff>46800</xdr:rowOff>
    </xdr:to>
    <xdr:graphicFrame>
      <xdr:nvGraphicFramePr>
        <xdr:cNvPr id="1" name=""/>
        <xdr:cNvGraphicFramePr/>
      </xdr:nvGraphicFramePr>
      <xdr:xfrm>
        <a:off x="3067560" y="410040"/>
        <a:ext cx="506484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O3" activeCellId="1" sqref="E5:L5 O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4" min="4" style="1" width="18.25"/>
    <col collapsed="false" customWidth="true" hidden="false" outlineLevel="0" max="5" min="5" style="1" width="16.46"/>
    <col collapsed="false" customWidth="false" hidden="false" outlineLevel="0" max="6" min="6" style="2" width="8.59"/>
    <col collapsed="false" customWidth="true" hidden="false" outlineLevel="0" max="7" min="7" style="1" width="44.6"/>
    <col collapsed="false" customWidth="true" hidden="false" outlineLevel="0" max="8" min="8" style="2" width="16.91"/>
    <col collapsed="false" customWidth="true" hidden="false" outlineLevel="0" max="12" min="9" style="2" width="19.52"/>
    <col collapsed="false" customWidth="true" hidden="false" outlineLevel="0" max="15" min="15" style="1" width="20.63"/>
    <col collapsed="false" customWidth="true" hidden="false" outlineLevel="0" max="17" min="17" style="1" width="10.16"/>
  </cols>
  <sheetData>
    <row r="1" customFormat="false" ht="37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O1" s="3" t="s">
        <v>12</v>
      </c>
      <c r="P1" s="3" t="s">
        <v>13</v>
      </c>
      <c r="Q1" s="3" t="s">
        <v>14</v>
      </c>
      <c r="R1" s="4" t="s">
        <v>15</v>
      </c>
    </row>
    <row r="2" customFormat="false" ht="15" hidden="false" customHeight="false" outlineLevel="0" collapsed="false">
      <c r="R2" s="2"/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2" t="n">
        <v>1</v>
      </c>
      <c r="G3" s="1" t="s">
        <v>21</v>
      </c>
      <c r="H3" s="2" t="n">
        <v>0.2028</v>
      </c>
      <c r="I3" s="2" t="n">
        <v>0.308803339089478</v>
      </c>
      <c r="J3" s="2" t="n">
        <v>0.41304085193702</v>
      </c>
      <c r="K3" s="2" t="n">
        <f aca="false">J3-I3</f>
        <v>0.104237512847542</v>
      </c>
      <c r="L3" s="2" t="n">
        <v>0.815772031466282</v>
      </c>
      <c r="O3" s="2" t="n">
        <f aca="false">AVERAGE(K3:K146)</f>
        <v>0.0510820826857222</v>
      </c>
      <c r="P3" s="2" t="n">
        <f aca="false">COUNT(K3:K146)</f>
        <v>144</v>
      </c>
      <c r="Q3" s="2" t="n">
        <f aca="false">CORREL(H3:H146,K3:K146)</f>
        <v>-0.166128148346189</v>
      </c>
      <c r="R3" s="2" t="n">
        <v>0.0465894069614302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2" t="n">
        <v>1</v>
      </c>
      <c r="G4" s="1" t="s">
        <v>22</v>
      </c>
      <c r="H4" s="2" t="n">
        <v>0.1975</v>
      </c>
      <c r="I4" s="2" t="n">
        <v>0.3007353205866</v>
      </c>
      <c r="J4" s="2" t="n">
        <v>0.361952980149879</v>
      </c>
      <c r="K4" s="2" t="n">
        <f aca="false">J4-I4</f>
        <v>0.0612176595632788</v>
      </c>
      <c r="L4" s="2" t="n">
        <v>0.815772031466282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2" t="n">
        <v>1</v>
      </c>
      <c r="G5" s="1" t="s">
        <v>23</v>
      </c>
      <c r="H5" s="2" t="n">
        <v>0.1682</v>
      </c>
      <c r="I5" s="2" t="n">
        <v>0.256171749219517</v>
      </c>
      <c r="J5" s="2" t="n">
        <v>0.328858932121993</v>
      </c>
      <c r="K5" s="2" t="n">
        <f aca="false">J5-I5</f>
        <v>0.0726871829024767</v>
      </c>
      <c r="L5" s="2" t="n">
        <v>0.815772031466282</v>
      </c>
    </row>
    <row r="6" customFormat="false" ht="1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2" t="n">
        <v>1</v>
      </c>
      <c r="G6" s="1" t="s">
        <v>24</v>
      </c>
      <c r="H6" s="2" t="n">
        <v>0.1662</v>
      </c>
      <c r="I6" s="2" t="n">
        <v>0.253026770680864</v>
      </c>
      <c r="J6" s="2" t="n">
        <v>0.323501145450318</v>
      </c>
      <c r="K6" s="2" t="n">
        <f aca="false">J6-I6</f>
        <v>0.0704743747694544</v>
      </c>
      <c r="L6" s="2" t="n">
        <v>0.815772031466282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2" t="n">
        <v>1</v>
      </c>
      <c r="G7" s="1" t="s">
        <v>25</v>
      </c>
      <c r="H7" s="2" t="n">
        <v>0.1654</v>
      </c>
      <c r="I7" s="2" t="n">
        <v>0.251803841901077</v>
      </c>
      <c r="J7" s="2" t="n">
        <v>0.316007977196254</v>
      </c>
      <c r="K7" s="2" t="n">
        <f aca="false">J7-I7</f>
        <v>0.0642041352951773</v>
      </c>
      <c r="L7" s="2" t="n">
        <v>0.815772031466282</v>
      </c>
    </row>
    <row r="8" customFormat="false" ht="15" hidden="false" customHeight="false" outlineLevel="0" collapsed="false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2" t="n">
        <v>1</v>
      </c>
      <c r="G8" s="1" t="s">
        <v>26</v>
      </c>
      <c r="H8" s="2" t="n">
        <v>0.1</v>
      </c>
      <c r="I8" s="2" t="n">
        <v>0.208423033297153</v>
      </c>
      <c r="J8" s="2" t="n">
        <v>0.281025291468936</v>
      </c>
      <c r="K8" s="2" t="n">
        <f aca="false">J8-I8</f>
        <v>0.0726022581717826</v>
      </c>
      <c r="L8" s="2" t="n">
        <v>0.815772031466282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29</v>
      </c>
      <c r="D9" s="1" t="s">
        <v>19</v>
      </c>
      <c r="E9" s="1" t="s">
        <v>20</v>
      </c>
      <c r="F9" s="2" t="n">
        <v>3</v>
      </c>
      <c r="G9" s="1" t="s">
        <v>21</v>
      </c>
      <c r="H9" s="2" t="n">
        <v>0.2145</v>
      </c>
      <c r="I9" s="2" t="n">
        <v>0.366504669430992</v>
      </c>
      <c r="J9" s="2" t="n">
        <v>0.431154649356983</v>
      </c>
      <c r="K9" s="2" t="n">
        <f aca="false">J9-I9</f>
        <v>0.0646499799259911</v>
      </c>
      <c r="L9" s="2" t="n">
        <v>0.690178981295079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  <c r="D10" s="1" t="s">
        <v>19</v>
      </c>
      <c r="E10" s="1" t="s">
        <v>20</v>
      </c>
      <c r="F10" s="2" t="n">
        <v>3</v>
      </c>
      <c r="G10" s="1" t="s">
        <v>22</v>
      </c>
      <c r="H10" s="2" t="n">
        <v>0.2077</v>
      </c>
      <c r="I10" s="2" t="n">
        <v>0.354846756082867</v>
      </c>
      <c r="J10" s="2" t="n">
        <v>0.419955076955177</v>
      </c>
      <c r="K10" s="2" t="n">
        <f aca="false">J10-I10</f>
        <v>0.0651083208723107</v>
      </c>
      <c r="L10" s="2" t="n">
        <v>0.690178981295079</v>
      </c>
    </row>
    <row r="11" customFormat="false" ht="15" hidden="false" customHeight="false" outlineLevel="0" collapsed="false">
      <c r="A11" s="1" t="s">
        <v>27</v>
      </c>
      <c r="B11" s="1" t="s">
        <v>28</v>
      </c>
      <c r="C11" s="1" t="s">
        <v>29</v>
      </c>
      <c r="D11" s="1" t="s">
        <v>19</v>
      </c>
      <c r="E11" s="1" t="s">
        <v>20</v>
      </c>
      <c r="F11" s="2" t="n">
        <v>3</v>
      </c>
      <c r="G11" s="1" t="s">
        <v>25</v>
      </c>
      <c r="H11" s="2" t="n">
        <v>0.1602</v>
      </c>
      <c r="I11" s="2" t="n">
        <v>0.27377209241287</v>
      </c>
      <c r="J11" s="2" t="n">
        <v>0.328529393772162</v>
      </c>
      <c r="K11" s="2" t="n">
        <f aca="false">J11-I11</f>
        <v>0.0547573013592928</v>
      </c>
      <c r="L11" s="2" t="n">
        <v>0.690178981295079</v>
      </c>
    </row>
    <row r="12" customFormat="false" ht="15" hidden="false" customHeight="false" outlineLevel="0" collapsed="false">
      <c r="A12" s="1" t="s">
        <v>27</v>
      </c>
      <c r="B12" s="1" t="s">
        <v>28</v>
      </c>
      <c r="C12" s="1" t="s">
        <v>29</v>
      </c>
      <c r="D12" s="1" t="s">
        <v>19</v>
      </c>
      <c r="E12" s="1" t="s">
        <v>20</v>
      </c>
      <c r="F12" s="2" t="n">
        <v>3</v>
      </c>
      <c r="G12" s="1" t="s">
        <v>24</v>
      </c>
      <c r="H12" s="2" t="n">
        <v>0.1589</v>
      </c>
      <c r="I12" s="2" t="n">
        <v>0.271543955693696</v>
      </c>
      <c r="J12" s="2" t="n">
        <v>0.34983016397193</v>
      </c>
      <c r="K12" s="2" t="n">
        <f aca="false">J12-I12</f>
        <v>0.0782862082782339</v>
      </c>
      <c r="L12" s="2" t="n">
        <v>0.690178981295079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1" t="s">
        <v>29</v>
      </c>
      <c r="D13" s="1" t="s">
        <v>19</v>
      </c>
      <c r="E13" s="1" t="s">
        <v>20</v>
      </c>
      <c r="F13" s="2" t="n">
        <v>3</v>
      </c>
      <c r="G13" s="1" t="s">
        <v>30</v>
      </c>
      <c r="H13" s="2" t="n">
        <v>0.1587</v>
      </c>
      <c r="I13" s="2" t="n">
        <v>0.271236460288561</v>
      </c>
      <c r="J13" s="2" t="n">
        <v>0.376573154355717</v>
      </c>
      <c r="K13" s="2" t="n">
        <f aca="false">J13-I13</f>
        <v>0.105336694067156</v>
      </c>
      <c r="L13" s="2" t="n">
        <v>0.690178981295079</v>
      </c>
    </row>
    <row r="14" customFormat="false" ht="15" hidden="false" customHeight="false" outlineLevel="0" collapsed="false">
      <c r="A14" s="1" t="s">
        <v>27</v>
      </c>
      <c r="B14" s="1" t="s">
        <v>28</v>
      </c>
      <c r="C14" s="1" t="s">
        <v>29</v>
      </c>
      <c r="D14" s="1" t="s">
        <v>19</v>
      </c>
      <c r="E14" s="1" t="s">
        <v>20</v>
      </c>
      <c r="F14" s="2" t="n">
        <v>3</v>
      </c>
      <c r="G14" s="1" t="s">
        <v>26</v>
      </c>
      <c r="H14" s="2" t="n">
        <v>0.1</v>
      </c>
      <c r="I14" s="2" t="n">
        <v>0.23408505156411</v>
      </c>
      <c r="J14" s="2" t="n">
        <v>0.343505585000442</v>
      </c>
      <c r="K14" s="2" t="n">
        <f aca="false">J14-I14</f>
        <v>0.109420533436332</v>
      </c>
      <c r="L14" s="2" t="n">
        <v>0.690178981295079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1" t="s">
        <v>33</v>
      </c>
      <c r="D15" s="1" t="s">
        <v>19</v>
      </c>
      <c r="E15" s="1" t="s">
        <v>20</v>
      </c>
      <c r="F15" s="2" t="n">
        <v>5</v>
      </c>
      <c r="G15" s="1" t="s">
        <v>21</v>
      </c>
      <c r="H15" s="2" t="n">
        <v>0.2099</v>
      </c>
      <c r="I15" s="2" t="n">
        <v>0.373677625287337</v>
      </c>
      <c r="J15" s="2" t="n">
        <v>0.395652566619888</v>
      </c>
      <c r="K15" s="2" t="n">
        <f aca="false">J15-I15</f>
        <v>0.0219749413325517</v>
      </c>
      <c r="L15" s="2" t="n">
        <v>0.678236595135105</v>
      </c>
    </row>
    <row r="16" customFormat="false" ht="15" hidden="false" customHeight="false" outlineLevel="0" collapsed="false">
      <c r="A16" s="1" t="s">
        <v>31</v>
      </c>
      <c r="B16" s="1" t="s">
        <v>32</v>
      </c>
      <c r="C16" s="1" t="s">
        <v>33</v>
      </c>
      <c r="D16" s="1" t="s">
        <v>19</v>
      </c>
      <c r="E16" s="1" t="s">
        <v>20</v>
      </c>
      <c r="F16" s="2" t="n">
        <v>5</v>
      </c>
      <c r="G16" s="1" t="s">
        <v>22</v>
      </c>
      <c r="H16" s="2" t="n">
        <v>0.1945</v>
      </c>
      <c r="I16" s="2" t="n">
        <v>0.346245541690859</v>
      </c>
      <c r="J16" s="2" t="n">
        <v>0.330468573258442</v>
      </c>
      <c r="K16" s="2" t="n">
        <f aca="false">J16-I16</f>
        <v>-0.0157769684324167</v>
      </c>
      <c r="L16" s="2" t="n">
        <v>0.678236595135105</v>
      </c>
    </row>
    <row r="17" customFormat="false" ht="15" hidden="false" customHeight="false" outlineLevel="0" collapsed="false">
      <c r="A17" s="1" t="s">
        <v>31</v>
      </c>
      <c r="B17" s="1" t="s">
        <v>32</v>
      </c>
      <c r="C17" s="1" t="s">
        <v>33</v>
      </c>
      <c r="D17" s="1" t="s">
        <v>19</v>
      </c>
      <c r="E17" s="1" t="s">
        <v>20</v>
      </c>
      <c r="F17" s="2" t="n">
        <v>5</v>
      </c>
      <c r="G17" s="1" t="s">
        <v>30</v>
      </c>
      <c r="H17" s="2" t="n">
        <v>0.175</v>
      </c>
      <c r="I17" s="2" t="n">
        <v>0.311563132380364</v>
      </c>
      <c r="J17" s="2" t="n">
        <v>0.321759287661721</v>
      </c>
      <c r="K17" s="2" t="n">
        <f aca="false">J17-I17</f>
        <v>0.0101961552813562</v>
      </c>
      <c r="L17" s="2" t="n">
        <v>0.678236595135105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19</v>
      </c>
      <c r="E18" s="1" t="s">
        <v>20</v>
      </c>
      <c r="F18" s="2" t="n">
        <v>5</v>
      </c>
      <c r="G18" s="1" t="s">
        <v>24</v>
      </c>
      <c r="H18" s="2" t="n">
        <v>0.1637</v>
      </c>
      <c r="I18" s="2" t="n">
        <v>0.291461278682717</v>
      </c>
      <c r="J18" s="2" t="n">
        <v>0.314043422663005</v>
      </c>
      <c r="K18" s="2" t="n">
        <f aca="false">J18-I18</f>
        <v>0.0225821439802883</v>
      </c>
      <c r="L18" s="2" t="n">
        <v>0.678236595135105</v>
      </c>
    </row>
    <row r="19" customFormat="false" ht="15" hidden="false" customHeight="false" outlineLevel="0" collapsed="false">
      <c r="A19" s="1" t="s">
        <v>31</v>
      </c>
      <c r="B19" s="1" t="s">
        <v>32</v>
      </c>
      <c r="C19" s="1" t="s">
        <v>33</v>
      </c>
      <c r="D19" s="1" t="s">
        <v>19</v>
      </c>
      <c r="E19" s="1" t="s">
        <v>20</v>
      </c>
      <c r="F19" s="2" t="n">
        <v>5</v>
      </c>
      <c r="G19" s="1" t="s">
        <v>34</v>
      </c>
      <c r="H19" s="2" t="n">
        <v>0.157</v>
      </c>
      <c r="I19" s="2" t="n">
        <v>0.279553367664871</v>
      </c>
      <c r="J19" s="2" t="n">
        <v>0.315273364881631</v>
      </c>
      <c r="K19" s="2" t="n">
        <f aca="false">J19-I19</f>
        <v>0.0357199972167605</v>
      </c>
      <c r="L19" s="2" t="n">
        <v>0.678236595135105</v>
      </c>
    </row>
    <row r="20" customFormat="false" ht="15" hidden="false" customHeight="false" outlineLevel="0" collapsed="false">
      <c r="A20" s="1" t="s">
        <v>31</v>
      </c>
      <c r="B20" s="1" t="s">
        <v>32</v>
      </c>
      <c r="C20" s="1" t="s">
        <v>33</v>
      </c>
      <c r="D20" s="1" t="s">
        <v>19</v>
      </c>
      <c r="E20" s="1" t="s">
        <v>20</v>
      </c>
      <c r="F20" s="2" t="n">
        <v>5</v>
      </c>
      <c r="G20" s="1" t="s">
        <v>26</v>
      </c>
      <c r="H20" s="2" t="n">
        <v>0.1</v>
      </c>
      <c r="I20" s="2" t="n">
        <v>0.259137995388459</v>
      </c>
      <c r="J20" s="2" t="n">
        <v>0.274486210293273</v>
      </c>
      <c r="K20" s="2" t="n">
        <f aca="false">J20-I20</f>
        <v>0.0153482149048137</v>
      </c>
      <c r="L20" s="2" t="n">
        <v>0.678236595135105</v>
      </c>
    </row>
    <row r="21" customFormat="false" ht="15" hidden="false" customHeight="false" outlineLevel="0" collapsed="false">
      <c r="A21" s="1" t="s">
        <v>35</v>
      </c>
      <c r="B21" s="1" t="s">
        <v>36</v>
      </c>
      <c r="C21" s="1" t="s">
        <v>37</v>
      </c>
      <c r="D21" s="1" t="s">
        <v>19</v>
      </c>
      <c r="E21" s="1" t="s">
        <v>20</v>
      </c>
      <c r="F21" s="2" t="n">
        <v>7</v>
      </c>
      <c r="G21" s="1" t="s">
        <v>21</v>
      </c>
      <c r="H21" s="2" t="n">
        <v>0.2081</v>
      </c>
      <c r="I21" s="2" t="n">
        <v>0.367962529505454</v>
      </c>
      <c r="J21" s="2" t="n">
        <v>0.35082905631042</v>
      </c>
      <c r="K21" s="2" t="n">
        <f aca="false">J21-I21</f>
        <v>-0.0171334731950345</v>
      </c>
      <c r="L21" s="2" t="n">
        <v>0.599753209767944</v>
      </c>
    </row>
    <row r="22" customFormat="false" ht="15" hidden="false" customHeight="false" outlineLevel="0" collapsed="false">
      <c r="A22" s="1" t="s">
        <v>35</v>
      </c>
      <c r="B22" s="1" t="s">
        <v>36</v>
      </c>
      <c r="C22" s="1" t="s">
        <v>37</v>
      </c>
      <c r="D22" s="1" t="s">
        <v>19</v>
      </c>
      <c r="E22" s="1" t="s">
        <v>20</v>
      </c>
      <c r="F22" s="2" t="n">
        <v>7</v>
      </c>
      <c r="G22" s="1" t="s">
        <v>22</v>
      </c>
      <c r="H22" s="2" t="n">
        <v>0.1841</v>
      </c>
      <c r="I22" s="2" t="n">
        <v>0.325526203632917</v>
      </c>
      <c r="J22" s="2" t="n">
        <v>0.308446917190422</v>
      </c>
      <c r="K22" s="2" t="n">
        <f aca="false">J22-I22</f>
        <v>-0.0170792864424952</v>
      </c>
      <c r="L22" s="2" t="n">
        <v>0.599753209767944</v>
      </c>
    </row>
    <row r="23" customFormat="false" ht="15" hidden="false" customHeight="false" outlineLevel="0" collapsed="false">
      <c r="A23" s="1" t="s">
        <v>35</v>
      </c>
      <c r="B23" s="1" t="s">
        <v>36</v>
      </c>
      <c r="C23" s="1" t="s">
        <v>37</v>
      </c>
      <c r="D23" s="1" t="s">
        <v>19</v>
      </c>
      <c r="E23" s="1" t="s">
        <v>20</v>
      </c>
      <c r="F23" s="2" t="n">
        <v>7</v>
      </c>
      <c r="G23" s="1" t="s">
        <v>34</v>
      </c>
      <c r="H23" s="2" t="n">
        <v>0.1742</v>
      </c>
      <c r="I23" s="2" t="n">
        <v>0.308037674468109</v>
      </c>
      <c r="J23" s="2" t="n">
        <v>0.313567100955927</v>
      </c>
      <c r="K23" s="2" t="n">
        <f aca="false">J23-I23</f>
        <v>0.00552942648781801</v>
      </c>
      <c r="L23" s="2" t="n">
        <v>0.599753209767944</v>
      </c>
    </row>
    <row r="24" customFormat="false" ht="15" hidden="false" customHeight="false" outlineLevel="0" collapsed="false">
      <c r="A24" s="1" t="s">
        <v>35</v>
      </c>
      <c r="B24" s="1" t="s">
        <v>36</v>
      </c>
      <c r="C24" s="1" t="s">
        <v>37</v>
      </c>
      <c r="D24" s="1" t="s">
        <v>19</v>
      </c>
      <c r="E24" s="1" t="s">
        <v>20</v>
      </c>
      <c r="F24" s="2" t="n">
        <v>7</v>
      </c>
      <c r="G24" s="1" t="s">
        <v>24</v>
      </c>
      <c r="H24" s="2" t="n">
        <v>0.1736</v>
      </c>
      <c r="I24" s="2" t="n">
        <v>0.306941392367154</v>
      </c>
      <c r="J24" s="2" t="n">
        <v>0.323214604485773</v>
      </c>
      <c r="K24" s="2" t="n">
        <f aca="false">J24-I24</f>
        <v>0.0162732121186189</v>
      </c>
      <c r="L24" s="2" t="n">
        <v>0.599753209767944</v>
      </c>
    </row>
    <row r="25" customFormat="false" ht="15" hidden="false" customHeight="false" outlineLevel="0" collapsed="false">
      <c r="A25" s="1" t="s">
        <v>35</v>
      </c>
      <c r="B25" s="1" t="s">
        <v>36</v>
      </c>
      <c r="C25" s="1" t="s">
        <v>37</v>
      </c>
      <c r="D25" s="1" t="s">
        <v>19</v>
      </c>
      <c r="E25" s="1" t="s">
        <v>20</v>
      </c>
      <c r="F25" s="2" t="n">
        <v>7</v>
      </c>
      <c r="G25" s="1" t="s">
        <v>30</v>
      </c>
      <c r="H25" s="2" t="n">
        <v>0.1601</v>
      </c>
      <c r="I25" s="2" t="n">
        <v>0.283088825542498</v>
      </c>
      <c r="J25" s="2" t="n">
        <v>0.309039828713825</v>
      </c>
      <c r="K25" s="2" t="n">
        <f aca="false">J25-I25</f>
        <v>0.0259510031713267</v>
      </c>
      <c r="L25" s="2" t="n">
        <v>0.599753209767944</v>
      </c>
    </row>
    <row r="26" customFormat="false" ht="15" hidden="false" customHeight="false" outlineLevel="0" collapsed="false">
      <c r="A26" s="1" t="s">
        <v>35</v>
      </c>
      <c r="B26" s="1" t="s">
        <v>36</v>
      </c>
      <c r="C26" s="1" t="s">
        <v>37</v>
      </c>
      <c r="D26" s="1" t="s">
        <v>19</v>
      </c>
      <c r="E26" s="1" t="s">
        <v>20</v>
      </c>
      <c r="F26" s="2" t="n">
        <v>7</v>
      </c>
      <c r="G26" s="1" t="s">
        <v>26</v>
      </c>
      <c r="H26" s="2" t="n">
        <v>0.1</v>
      </c>
      <c r="I26" s="2" t="n">
        <v>0.216467400339783</v>
      </c>
      <c r="J26" s="2" t="n">
        <v>0.265762152370667</v>
      </c>
      <c r="K26" s="2" t="n">
        <f aca="false">J26-I26</f>
        <v>0.0492947520308833</v>
      </c>
      <c r="L26" s="2" t="n">
        <v>0.599753209767944</v>
      </c>
    </row>
    <row r="27" customFormat="false" ht="15" hidden="false" customHeight="false" outlineLevel="0" collapsed="false">
      <c r="A27" s="1" t="s">
        <v>38</v>
      </c>
      <c r="B27" s="1" t="s">
        <v>39</v>
      </c>
      <c r="C27" s="1" t="s">
        <v>40</v>
      </c>
      <c r="D27" s="1" t="s">
        <v>19</v>
      </c>
      <c r="E27" s="1" t="s">
        <v>20</v>
      </c>
      <c r="F27" s="2" t="n">
        <v>9</v>
      </c>
      <c r="G27" s="1" t="s">
        <v>21</v>
      </c>
      <c r="H27" s="2" t="n">
        <v>0.1981</v>
      </c>
      <c r="I27" s="2" t="n">
        <v>0.252504018982825</v>
      </c>
      <c r="J27" s="2" t="n">
        <v>0.377263564092789</v>
      </c>
      <c r="K27" s="2" t="n">
        <f aca="false">J27-I27</f>
        <v>0.124759545109964</v>
      </c>
      <c r="L27" s="2" t="n">
        <v>0.571410730397255</v>
      </c>
    </row>
    <row r="28" customFormat="false" ht="15" hidden="false" customHeight="false" outlineLevel="0" collapsed="false">
      <c r="A28" s="1" t="s">
        <v>38</v>
      </c>
      <c r="B28" s="1" t="s">
        <v>39</v>
      </c>
      <c r="C28" s="1" t="s">
        <v>40</v>
      </c>
      <c r="D28" s="1" t="s">
        <v>19</v>
      </c>
      <c r="E28" s="1" t="s">
        <v>20</v>
      </c>
      <c r="F28" s="2" t="n">
        <v>9</v>
      </c>
      <c r="G28" s="1" t="s">
        <v>22</v>
      </c>
      <c r="H28" s="2" t="n">
        <v>0.1929</v>
      </c>
      <c r="I28" s="2" t="n">
        <v>0.24589897501739</v>
      </c>
      <c r="J28" s="2" t="n">
        <v>0.334514455015732</v>
      </c>
      <c r="K28" s="2" t="n">
        <f aca="false">J28-I28</f>
        <v>0.0886154799983425</v>
      </c>
      <c r="L28" s="2" t="n">
        <v>0.571410730397255</v>
      </c>
    </row>
    <row r="29" customFormat="false" ht="15" hidden="false" customHeight="false" outlineLevel="0" collapsed="false">
      <c r="A29" s="1" t="s">
        <v>38</v>
      </c>
      <c r="B29" s="1" t="s">
        <v>39</v>
      </c>
      <c r="C29" s="1" t="s">
        <v>40</v>
      </c>
      <c r="D29" s="1" t="s">
        <v>19</v>
      </c>
      <c r="E29" s="1" t="s">
        <v>20</v>
      </c>
      <c r="F29" s="2" t="n">
        <v>9</v>
      </c>
      <c r="G29" s="1" t="s">
        <v>24</v>
      </c>
      <c r="H29" s="2" t="n">
        <v>0.1727</v>
      </c>
      <c r="I29" s="2" t="n">
        <v>0.220072643973269</v>
      </c>
      <c r="J29" s="2" t="n">
        <v>0.33772604355562</v>
      </c>
      <c r="K29" s="2" t="n">
        <f aca="false">J29-I29</f>
        <v>0.117653399582351</v>
      </c>
      <c r="L29" s="2" t="n">
        <v>0.571410730397255</v>
      </c>
    </row>
    <row r="30" customFormat="false" ht="15" hidden="false" customHeight="false" outlineLevel="0" collapsed="false">
      <c r="A30" s="1" t="s">
        <v>38</v>
      </c>
      <c r="B30" s="1" t="s">
        <v>39</v>
      </c>
      <c r="C30" s="1" t="s">
        <v>40</v>
      </c>
      <c r="D30" s="1" t="s">
        <v>19</v>
      </c>
      <c r="E30" s="1" t="s">
        <v>20</v>
      </c>
      <c r="F30" s="2" t="n">
        <v>9</v>
      </c>
      <c r="G30" s="1" t="s">
        <v>23</v>
      </c>
      <c r="H30" s="2" t="n">
        <v>0.1699</v>
      </c>
      <c r="I30" s="2" t="n">
        <v>0.216562019664078</v>
      </c>
      <c r="J30" s="2" t="n">
        <v>0.288430028889538</v>
      </c>
      <c r="K30" s="2" t="n">
        <f aca="false">J30-I30</f>
        <v>0.0718680092254603</v>
      </c>
      <c r="L30" s="2" t="n">
        <v>0.571410730397255</v>
      </c>
    </row>
    <row r="31" customFormat="false" ht="15" hidden="false" customHeight="false" outlineLevel="0" collapsed="false">
      <c r="A31" s="1" t="s">
        <v>38</v>
      </c>
      <c r="B31" s="1" t="s">
        <v>39</v>
      </c>
      <c r="C31" s="1" t="s">
        <v>40</v>
      </c>
      <c r="D31" s="1" t="s">
        <v>19</v>
      </c>
      <c r="E31" s="1" t="s">
        <v>20</v>
      </c>
      <c r="F31" s="2" t="n">
        <v>9</v>
      </c>
      <c r="G31" s="1" t="s">
        <v>41</v>
      </c>
      <c r="H31" s="2" t="n">
        <v>0.1664</v>
      </c>
      <c r="I31" s="2" t="n">
        <v>0.212037772902255</v>
      </c>
      <c r="J31" s="2" t="n">
        <v>0.264450978084356</v>
      </c>
      <c r="K31" s="2" t="n">
        <f aca="false">J31-I31</f>
        <v>0.052413205182101</v>
      </c>
      <c r="L31" s="2" t="n">
        <v>0.571410730397255</v>
      </c>
    </row>
    <row r="32" customFormat="false" ht="15" hidden="false" customHeight="false" outlineLevel="0" collapsed="false">
      <c r="A32" s="1" t="s">
        <v>38</v>
      </c>
      <c r="B32" s="1" t="s">
        <v>39</v>
      </c>
      <c r="C32" s="1" t="s">
        <v>40</v>
      </c>
      <c r="D32" s="1" t="s">
        <v>19</v>
      </c>
      <c r="E32" s="1" t="s">
        <v>20</v>
      </c>
      <c r="F32" s="2" t="n">
        <v>9</v>
      </c>
      <c r="G32" s="1" t="s">
        <v>26</v>
      </c>
      <c r="H32" s="2" t="n">
        <v>0.1</v>
      </c>
      <c r="I32" s="2" t="n">
        <v>0.164268535596838</v>
      </c>
      <c r="J32" s="2" t="n">
        <v>0.250362838270818</v>
      </c>
      <c r="K32" s="2" t="n">
        <f aca="false">J32-I32</f>
        <v>0.0860943026739806</v>
      </c>
      <c r="L32" s="2" t="n">
        <v>0.571410730397255</v>
      </c>
    </row>
    <row r="33" customFormat="false" ht="15" hidden="false" customHeight="false" outlineLevel="0" collapsed="false">
      <c r="A33" s="1" t="s">
        <v>42</v>
      </c>
      <c r="B33" s="1" t="s">
        <v>43</v>
      </c>
      <c r="C33" s="1" t="s">
        <v>44</v>
      </c>
      <c r="D33" s="1" t="s">
        <v>19</v>
      </c>
      <c r="E33" s="1" t="s">
        <v>20</v>
      </c>
      <c r="F33" s="2" t="n">
        <v>11</v>
      </c>
      <c r="G33" s="1" t="s">
        <v>21</v>
      </c>
      <c r="H33" s="2" t="n">
        <v>0.2051</v>
      </c>
      <c r="I33" s="2" t="n">
        <v>0.285064604562502</v>
      </c>
      <c r="J33" s="2" t="n">
        <v>0.348095753204</v>
      </c>
      <c r="K33" s="2" t="n">
        <f aca="false">J33-I33</f>
        <v>0.0630311486414981</v>
      </c>
      <c r="L33" s="2" t="n">
        <v>0.665331994991001</v>
      </c>
    </row>
    <row r="34" customFormat="false" ht="15" hidden="false" customHeight="false" outlineLevel="0" collapsed="false">
      <c r="A34" s="1" t="s">
        <v>42</v>
      </c>
      <c r="B34" s="1" t="s">
        <v>43</v>
      </c>
      <c r="C34" s="1" t="s">
        <v>44</v>
      </c>
      <c r="D34" s="1" t="s">
        <v>19</v>
      </c>
      <c r="E34" s="1" t="s">
        <v>20</v>
      </c>
      <c r="F34" s="2" t="n">
        <v>11</v>
      </c>
      <c r="G34" s="1" t="s">
        <v>22</v>
      </c>
      <c r="H34" s="2" t="n">
        <v>0.1987</v>
      </c>
      <c r="I34" s="2" t="n">
        <v>0.27616936890559</v>
      </c>
      <c r="J34" s="2" t="n">
        <v>0.303057415981575</v>
      </c>
      <c r="K34" s="2" t="n">
        <f aca="false">J34-I34</f>
        <v>0.0268880470759855</v>
      </c>
      <c r="L34" s="2" t="n">
        <v>0.665331994991001</v>
      </c>
    </row>
    <row r="35" customFormat="false" ht="15" hidden="false" customHeight="false" outlineLevel="0" collapsed="false">
      <c r="A35" s="1" t="s">
        <v>42</v>
      </c>
      <c r="B35" s="1" t="s">
        <v>43</v>
      </c>
      <c r="C35" s="1" t="s">
        <v>44</v>
      </c>
      <c r="D35" s="1" t="s">
        <v>19</v>
      </c>
      <c r="E35" s="1" t="s">
        <v>20</v>
      </c>
      <c r="F35" s="2" t="n">
        <v>11</v>
      </c>
      <c r="G35" s="1" t="s">
        <v>25</v>
      </c>
      <c r="H35" s="2" t="n">
        <v>0.1705</v>
      </c>
      <c r="I35" s="2" t="n">
        <v>0.237010651770315</v>
      </c>
      <c r="J35" s="2" t="n">
        <v>0.303422148269762</v>
      </c>
      <c r="K35" s="2" t="n">
        <f aca="false">J35-I35</f>
        <v>0.0664114964994474</v>
      </c>
      <c r="L35" s="2" t="n">
        <v>0.665331994991001</v>
      </c>
    </row>
    <row r="36" customFormat="false" ht="15" hidden="false" customHeight="false" outlineLevel="0" collapsed="false">
      <c r="A36" s="1" t="s">
        <v>42</v>
      </c>
      <c r="B36" s="1" t="s">
        <v>43</v>
      </c>
      <c r="C36" s="1" t="s">
        <v>44</v>
      </c>
      <c r="D36" s="1" t="s">
        <v>19</v>
      </c>
      <c r="E36" s="1" t="s">
        <v>20</v>
      </c>
      <c r="F36" s="2" t="n">
        <v>11</v>
      </c>
      <c r="G36" s="1" t="s">
        <v>24</v>
      </c>
      <c r="H36" s="2" t="n">
        <v>0.1701</v>
      </c>
      <c r="I36" s="2" t="n">
        <v>0.236357871859734</v>
      </c>
      <c r="J36" s="2" t="n">
        <v>0.284035693274615</v>
      </c>
      <c r="K36" s="2" t="n">
        <f aca="false">J36-I36</f>
        <v>0.0476778214148817</v>
      </c>
      <c r="L36" s="2" t="n">
        <v>0.665331994991001</v>
      </c>
    </row>
    <row r="37" customFormat="false" ht="15" hidden="false" customHeight="false" outlineLevel="0" collapsed="false">
      <c r="A37" s="1" t="s">
        <v>42</v>
      </c>
      <c r="B37" s="1" t="s">
        <v>43</v>
      </c>
      <c r="C37" s="1" t="s">
        <v>44</v>
      </c>
      <c r="D37" s="1" t="s">
        <v>19</v>
      </c>
      <c r="E37" s="1" t="s">
        <v>20</v>
      </c>
      <c r="F37" s="2" t="n">
        <v>11</v>
      </c>
      <c r="G37" s="1" t="s">
        <v>41</v>
      </c>
      <c r="H37" s="2" t="n">
        <v>0.1555</v>
      </c>
      <c r="I37" s="2" t="n">
        <v>0.216156778914439</v>
      </c>
      <c r="J37" s="2" t="n">
        <v>0.275602917723341</v>
      </c>
      <c r="K37" s="2" t="n">
        <f aca="false">J37-I37</f>
        <v>0.0594461388089021</v>
      </c>
      <c r="L37" s="2" t="n">
        <v>0.665331994991001</v>
      </c>
    </row>
    <row r="38" customFormat="false" ht="15" hidden="false" customHeight="false" outlineLevel="0" collapsed="false">
      <c r="A38" s="1" t="s">
        <v>42</v>
      </c>
      <c r="B38" s="1" t="s">
        <v>43</v>
      </c>
      <c r="C38" s="1" t="s">
        <v>44</v>
      </c>
      <c r="D38" s="1" t="s">
        <v>19</v>
      </c>
      <c r="E38" s="1" t="s">
        <v>20</v>
      </c>
      <c r="F38" s="2" t="n">
        <v>11</v>
      </c>
      <c r="G38" s="1" t="s">
        <v>26</v>
      </c>
      <c r="H38" s="2" t="n">
        <v>0.1</v>
      </c>
      <c r="I38" s="2" t="n">
        <v>0.180543006866313</v>
      </c>
      <c r="J38" s="2" t="n">
        <v>0.241017827811085</v>
      </c>
      <c r="K38" s="2" t="n">
        <f aca="false">J38-I38</f>
        <v>0.0604748209447723</v>
      </c>
      <c r="L38" s="2" t="n">
        <v>0.665331994991001</v>
      </c>
    </row>
    <row r="39" customFormat="false" ht="15" hidden="false" customHeight="false" outlineLevel="0" collapsed="false">
      <c r="A39" s="1" t="s">
        <v>45</v>
      </c>
      <c r="B39" s="1" t="s">
        <v>46</v>
      </c>
      <c r="C39" s="1" t="s">
        <v>47</v>
      </c>
      <c r="D39" s="1" t="s">
        <v>19</v>
      </c>
      <c r="E39" s="1" t="s">
        <v>20</v>
      </c>
      <c r="F39" s="2" t="n">
        <v>13</v>
      </c>
      <c r="G39" s="1" t="s">
        <v>21</v>
      </c>
      <c r="H39" s="2" t="n">
        <v>0.2126</v>
      </c>
      <c r="I39" s="2" t="n">
        <v>0.332526723432326</v>
      </c>
      <c r="J39" s="2" t="n">
        <v>0.371896165675916</v>
      </c>
      <c r="K39" s="2" t="n">
        <f aca="false">J39-I39</f>
        <v>0.0393694422435897</v>
      </c>
      <c r="L39" s="2" t="n">
        <v>0.834581956795994</v>
      </c>
    </row>
    <row r="40" customFormat="false" ht="15" hidden="false" customHeight="false" outlineLevel="0" collapsed="false">
      <c r="A40" s="1" t="s">
        <v>45</v>
      </c>
      <c r="B40" s="1" t="s">
        <v>46</v>
      </c>
      <c r="C40" s="1" t="s">
        <v>47</v>
      </c>
      <c r="D40" s="1" t="s">
        <v>19</v>
      </c>
      <c r="E40" s="1" t="s">
        <v>20</v>
      </c>
      <c r="F40" s="2" t="n">
        <v>13</v>
      </c>
      <c r="G40" s="1" t="s">
        <v>22</v>
      </c>
      <c r="H40" s="2" t="n">
        <v>0.1848</v>
      </c>
      <c r="I40" s="2" t="n">
        <v>0.288999704060053</v>
      </c>
      <c r="J40" s="2" t="n">
        <v>0.315407924883341</v>
      </c>
      <c r="K40" s="2" t="n">
        <f aca="false">J40-I40</f>
        <v>0.0264082208232887</v>
      </c>
      <c r="L40" s="2" t="n">
        <v>0.834581956795994</v>
      </c>
    </row>
    <row r="41" customFormat="false" ht="15" hidden="false" customHeight="false" outlineLevel="0" collapsed="false">
      <c r="A41" s="1" t="s">
        <v>45</v>
      </c>
      <c r="B41" s="1" t="s">
        <v>46</v>
      </c>
      <c r="C41" s="1" t="s">
        <v>47</v>
      </c>
      <c r="D41" s="1" t="s">
        <v>19</v>
      </c>
      <c r="E41" s="1" t="s">
        <v>20</v>
      </c>
      <c r="F41" s="2" t="n">
        <v>13</v>
      </c>
      <c r="G41" s="1" t="s">
        <v>25</v>
      </c>
      <c r="H41" s="2" t="n">
        <v>0.1712</v>
      </c>
      <c r="I41" s="2" t="n">
        <v>0.267774738397672</v>
      </c>
      <c r="J41" s="2" t="n">
        <v>0.30694856661232</v>
      </c>
      <c r="K41" s="2" t="n">
        <f aca="false">J41-I41</f>
        <v>0.0391738282146483</v>
      </c>
      <c r="L41" s="2" t="n">
        <v>0.834581956795994</v>
      </c>
    </row>
    <row r="42" customFormat="false" ht="15" hidden="false" customHeight="false" outlineLevel="0" collapsed="false">
      <c r="A42" s="1" t="s">
        <v>45</v>
      </c>
      <c r="B42" s="1" t="s">
        <v>46</v>
      </c>
      <c r="C42" s="1" t="s">
        <v>47</v>
      </c>
      <c r="D42" s="1" t="s">
        <v>19</v>
      </c>
      <c r="E42" s="1" t="s">
        <v>20</v>
      </c>
      <c r="F42" s="2" t="n">
        <v>13</v>
      </c>
      <c r="G42" s="1" t="s">
        <v>24</v>
      </c>
      <c r="H42" s="2" t="n">
        <v>0.1711</v>
      </c>
      <c r="I42" s="2" t="n">
        <v>0.267631070939922</v>
      </c>
      <c r="J42" s="2" t="n">
        <v>0.316267664139445</v>
      </c>
      <c r="K42" s="2" t="n">
        <f aca="false">J42-I42</f>
        <v>0.0486365931995224</v>
      </c>
      <c r="L42" s="2" t="n">
        <v>0.834581956795994</v>
      </c>
    </row>
    <row r="43" customFormat="false" ht="15" hidden="false" customHeight="false" outlineLevel="0" collapsed="false">
      <c r="A43" s="1" t="s">
        <v>45</v>
      </c>
      <c r="B43" s="1" t="s">
        <v>46</v>
      </c>
      <c r="C43" s="1" t="s">
        <v>47</v>
      </c>
      <c r="D43" s="1" t="s">
        <v>19</v>
      </c>
      <c r="E43" s="1" t="s">
        <v>20</v>
      </c>
      <c r="F43" s="2" t="n">
        <v>13</v>
      </c>
      <c r="G43" s="1" t="s">
        <v>41</v>
      </c>
      <c r="H43" s="2" t="n">
        <v>0.1602</v>
      </c>
      <c r="I43" s="2" t="n">
        <v>0.250481272922543</v>
      </c>
      <c r="J43" s="2" t="n">
        <v>0.278792709364064</v>
      </c>
      <c r="K43" s="2" t="n">
        <f aca="false">J43-I43</f>
        <v>0.0283114364415206</v>
      </c>
      <c r="L43" s="2" t="n">
        <v>0.834581956795994</v>
      </c>
    </row>
    <row r="44" customFormat="false" ht="15" hidden="false" customHeight="false" outlineLevel="0" collapsed="false">
      <c r="A44" s="1" t="s">
        <v>45</v>
      </c>
      <c r="B44" s="1" t="s">
        <v>46</v>
      </c>
      <c r="C44" s="1" t="s">
        <v>47</v>
      </c>
      <c r="D44" s="1" t="s">
        <v>19</v>
      </c>
      <c r="E44" s="1" t="s">
        <v>20</v>
      </c>
      <c r="F44" s="2" t="n">
        <v>13</v>
      </c>
      <c r="G44" s="1" t="s">
        <v>26</v>
      </c>
      <c r="H44" s="2" t="n">
        <v>0.1</v>
      </c>
      <c r="I44" s="2" t="n">
        <v>0.185054284560103</v>
      </c>
      <c r="J44" s="2" t="n">
        <v>0.236647765361585</v>
      </c>
      <c r="K44" s="2" t="n">
        <f aca="false">J44-I44</f>
        <v>0.0515934808014825</v>
      </c>
      <c r="L44" s="2" t="n">
        <v>0.834581956795994</v>
      </c>
    </row>
    <row r="45" customFormat="false" ht="15" hidden="false" customHeight="false" outlineLevel="0" collapsed="false">
      <c r="A45" s="1" t="s">
        <v>48</v>
      </c>
      <c r="B45" s="1" t="s">
        <v>49</v>
      </c>
      <c r="C45" s="1" t="s">
        <v>50</v>
      </c>
      <c r="D45" s="1" t="s">
        <v>19</v>
      </c>
      <c r="E45" s="1" t="s">
        <v>20</v>
      </c>
      <c r="F45" s="2" t="n">
        <v>15</v>
      </c>
      <c r="G45" s="1" t="s">
        <v>22</v>
      </c>
      <c r="H45" s="2" t="n">
        <v>0.195</v>
      </c>
      <c r="I45" s="2" t="n">
        <v>0.301960394269232</v>
      </c>
      <c r="J45" s="2" t="n">
        <v>0.359983683445123</v>
      </c>
      <c r="K45" s="2" t="n">
        <f aca="false">J45-I45</f>
        <v>0.0580232891758911</v>
      </c>
      <c r="L45" s="2" t="n">
        <v>0.727191552934014</v>
      </c>
    </row>
    <row r="46" customFormat="false" ht="15" hidden="false" customHeight="false" outlineLevel="0" collapsed="false">
      <c r="A46" s="1" t="s">
        <v>48</v>
      </c>
      <c r="B46" s="1" t="s">
        <v>49</v>
      </c>
      <c r="C46" s="1" t="s">
        <v>50</v>
      </c>
      <c r="D46" s="1" t="s">
        <v>19</v>
      </c>
      <c r="E46" s="1" t="s">
        <v>20</v>
      </c>
      <c r="F46" s="2" t="n">
        <v>15</v>
      </c>
      <c r="G46" s="1" t="s">
        <v>21</v>
      </c>
      <c r="H46" s="2" t="n">
        <v>0.1943</v>
      </c>
      <c r="I46" s="2" t="n">
        <v>0.300959003078176</v>
      </c>
      <c r="J46" s="2" t="n">
        <v>0.384720276652255</v>
      </c>
      <c r="K46" s="2" t="n">
        <f aca="false">J46-I46</f>
        <v>0.083761273574079</v>
      </c>
      <c r="L46" s="2" t="n">
        <v>0.727191552934014</v>
      </c>
    </row>
    <row r="47" customFormat="false" ht="15" hidden="false" customHeight="false" outlineLevel="0" collapsed="false">
      <c r="A47" s="1" t="s">
        <v>48</v>
      </c>
      <c r="B47" s="1" t="s">
        <v>49</v>
      </c>
      <c r="C47" s="1" t="s">
        <v>50</v>
      </c>
      <c r="D47" s="1" t="s">
        <v>19</v>
      </c>
      <c r="E47" s="1" t="s">
        <v>20</v>
      </c>
      <c r="F47" s="2" t="n">
        <v>15</v>
      </c>
      <c r="G47" s="1" t="s">
        <v>24</v>
      </c>
      <c r="H47" s="2" t="n">
        <v>0.1726</v>
      </c>
      <c r="I47" s="2" t="n">
        <v>0.267366068431246</v>
      </c>
      <c r="J47" s="2" t="n">
        <v>0.366227116161365</v>
      </c>
      <c r="K47" s="2" t="n">
        <f aca="false">J47-I47</f>
        <v>0.0988610477301193</v>
      </c>
      <c r="L47" s="2" t="n">
        <v>0.727191552934014</v>
      </c>
    </row>
    <row r="48" customFormat="false" ht="15" hidden="false" customHeight="false" outlineLevel="0" collapsed="false">
      <c r="A48" s="1" t="s">
        <v>48</v>
      </c>
      <c r="B48" s="1" t="s">
        <v>49</v>
      </c>
      <c r="C48" s="1" t="s">
        <v>50</v>
      </c>
      <c r="D48" s="1" t="s">
        <v>19</v>
      </c>
      <c r="E48" s="1" t="s">
        <v>20</v>
      </c>
      <c r="F48" s="2" t="n">
        <v>15</v>
      </c>
      <c r="G48" s="1" t="s">
        <v>30</v>
      </c>
      <c r="H48" s="2" t="n">
        <v>0.1715</v>
      </c>
      <c r="I48" s="2" t="n">
        <v>0.265531606980824</v>
      </c>
      <c r="J48" s="2" t="n">
        <v>0.377075393746441</v>
      </c>
      <c r="K48" s="2" t="n">
        <f aca="false">J48-I48</f>
        <v>0.111543786765618</v>
      </c>
      <c r="L48" s="2" t="n">
        <v>0.727191552934014</v>
      </c>
    </row>
    <row r="49" customFormat="false" ht="15" hidden="false" customHeight="false" outlineLevel="0" collapsed="false">
      <c r="A49" s="1" t="s">
        <v>48</v>
      </c>
      <c r="B49" s="1" t="s">
        <v>49</v>
      </c>
      <c r="C49" s="1" t="s">
        <v>50</v>
      </c>
      <c r="D49" s="1" t="s">
        <v>19</v>
      </c>
      <c r="E49" s="1" t="s">
        <v>20</v>
      </c>
      <c r="F49" s="2" t="n">
        <v>15</v>
      </c>
      <c r="G49" s="1" t="s">
        <v>34</v>
      </c>
      <c r="H49" s="2" t="n">
        <v>0.1666</v>
      </c>
      <c r="I49" s="2" t="n">
        <v>0.258017501095128</v>
      </c>
      <c r="J49" s="2" t="n">
        <v>0.328497391742492</v>
      </c>
      <c r="K49" s="2" t="n">
        <f aca="false">J49-I49</f>
        <v>0.0704798906473636</v>
      </c>
      <c r="L49" s="2" t="n">
        <v>0.727191552934014</v>
      </c>
    </row>
    <row r="50" customFormat="false" ht="15" hidden="false" customHeight="false" outlineLevel="0" collapsed="false">
      <c r="A50" s="1" t="s">
        <v>48</v>
      </c>
      <c r="B50" s="1" t="s">
        <v>49</v>
      </c>
      <c r="C50" s="1" t="s">
        <v>50</v>
      </c>
      <c r="D50" s="1" t="s">
        <v>19</v>
      </c>
      <c r="E50" s="1" t="s">
        <v>20</v>
      </c>
      <c r="F50" s="2" t="n">
        <v>15</v>
      </c>
      <c r="G50" s="1" t="s">
        <v>26</v>
      </c>
      <c r="H50" s="2" t="n">
        <v>0.1</v>
      </c>
      <c r="I50" s="2" t="n">
        <v>0.196644680634998</v>
      </c>
      <c r="J50" s="2" t="n">
        <v>0.312051910716704</v>
      </c>
      <c r="K50" s="2" t="n">
        <f aca="false">J50-I50</f>
        <v>0.115407230081706</v>
      </c>
      <c r="L50" s="2" t="n">
        <v>0.727191552934014</v>
      </c>
    </row>
    <row r="51" customFormat="false" ht="15" hidden="false" customHeight="false" outlineLevel="0" collapsed="false">
      <c r="A51" s="1" t="s">
        <v>51</v>
      </c>
      <c r="B51" s="1" t="s">
        <v>52</v>
      </c>
      <c r="C51" s="1" t="s">
        <v>53</v>
      </c>
      <c r="D51" s="1" t="s">
        <v>19</v>
      </c>
      <c r="E51" s="1" t="s">
        <v>20</v>
      </c>
      <c r="F51" s="2" t="n">
        <v>17</v>
      </c>
      <c r="G51" s="1" t="s">
        <v>30</v>
      </c>
      <c r="H51" s="2" t="n">
        <v>0.2056</v>
      </c>
      <c r="I51" s="2" t="n">
        <v>0.351304019528628</v>
      </c>
      <c r="J51" s="2" t="n">
        <v>0.436053462825163</v>
      </c>
      <c r="K51" s="2" t="n">
        <f aca="false">J51-I51</f>
        <v>0.0847494432965349</v>
      </c>
      <c r="L51" s="2" t="n">
        <v>0.69768144989318</v>
      </c>
    </row>
    <row r="52" customFormat="false" ht="15" hidden="false" customHeight="false" outlineLevel="0" collapsed="false">
      <c r="A52" s="1" t="s">
        <v>51</v>
      </c>
      <c r="B52" s="1" t="s">
        <v>52</v>
      </c>
      <c r="C52" s="1" t="s">
        <v>53</v>
      </c>
      <c r="D52" s="1" t="s">
        <v>19</v>
      </c>
      <c r="E52" s="1" t="s">
        <v>20</v>
      </c>
      <c r="F52" s="2" t="n">
        <v>17</v>
      </c>
      <c r="G52" s="1" t="s">
        <v>41</v>
      </c>
      <c r="H52" s="2" t="n">
        <v>0.1848</v>
      </c>
      <c r="I52" s="2" t="n">
        <v>0.315898335035892</v>
      </c>
      <c r="J52" s="2" t="n">
        <v>0.400107809907445</v>
      </c>
      <c r="K52" s="2" t="n">
        <f aca="false">J52-I52</f>
        <v>0.0842094748715527</v>
      </c>
      <c r="L52" s="2" t="n">
        <v>0.69768144989318</v>
      </c>
    </row>
    <row r="53" customFormat="false" ht="15" hidden="false" customHeight="false" outlineLevel="0" collapsed="false">
      <c r="A53" s="1" t="s">
        <v>51</v>
      </c>
      <c r="B53" s="1" t="s">
        <v>52</v>
      </c>
      <c r="C53" s="1" t="s">
        <v>53</v>
      </c>
      <c r="D53" s="1" t="s">
        <v>19</v>
      </c>
      <c r="E53" s="1" t="s">
        <v>20</v>
      </c>
      <c r="F53" s="2" t="n">
        <v>17</v>
      </c>
      <c r="G53" s="1" t="s">
        <v>54</v>
      </c>
      <c r="H53" s="2" t="n">
        <v>0.1789</v>
      </c>
      <c r="I53" s="2" t="n">
        <v>0.305739186837415</v>
      </c>
      <c r="J53" s="2" t="n">
        <v>0.431921631827033</v>
      </c>
      <c r="K53" s="2" t="n">
        <f aca="false">J53-I53</f>
        <v>0.126182444989618</v>
      </c>
      <c r="L53" s="2" t="n">
        <v>0.69768144989318</v>
      </c>
    </row>
    <row r="54" customFormat="false" ht="15" hidden="false" customHeight="false" outlineLevel="0" collapsed="false">
      <c r="A54" s="1" t="s">
        <v>51</v>
      </c>
      <c r="B54" s="1" t="s">
        <v>52</v>
      </c>
      <c r="C54" s="1" t="s">
        <v>53</v>
      </c>
      <c r="D54" s="1" t="s">
        <v>19</v>
      </c>
      <c r="E54" s="1" t="s">
        <v>20</v>
      </c>
      <c r="F54" s="2" t="n">
        <v>17</v>
      </c>
      <c r="G54" s="1" t="s">
        <v>55</v>
      </c>
      <c r="H54" s="2" t="n">
        <v>0.1654</v>
      </c>
      <c r="I54" s="2" t="n">
        <v>0.282623716190371</v>
      </c>
      <c r="J54" s="2" t="n">
        <v>0.319407626493246</v>
      </c>
      <c r="K54" s="2" t="n">
        <f aca="false">J54-I54</f>
        <v>0.0367839103028751</v>
      </c>
      <c r="L54" s="2" t="n">
        <v>0.69768144989318</v>
      </c>
    </row>
    <row r="55" customFormat="false" ht="15" hidden="false" customHeight="false" outlineLevel="0" collapsed="false">
      <c r="A55" s="1" t="s">
        <v>51</v>
      </c>
      <c r="B55" s="1" t="s">
        <v>52</v>
      </c>
      <c r="C55" s="1" t="s">
        <v>53</v>
      </c>
      <c r="D55" s="1" t="s">
        <v>19</v>
      </c>
      <c r="E55" s="1" t="s">
        <v>20</v>
      </c>
      <c r="F55" s="2" t="n">
        <v>17</v>
      </c>
      <c r="G55" s="1" t="s">
        <v>22</v>
      </c>
      <c r="H55" s="2" t="n">
        <v>0.1653</v>
      </c>
      <c r="I55" s="2" t="n">
        <v>0.282584922799046</v>
      </c>
      <c r="J55" s="2" t="n">
        <v>0.375753581400135</v>
      </c>
      <c r="K55" s="2" t="n">
        <f aca="false">J55-I55</f>
        <v>0.0931686586010883</v>
      </c>
      <c r="L55" s="2" t="n">
        <v>0.69768144989318</v>
      </c>
    </row>
    <row r="56" customFormat="false" ht="15" hidden="false" customHeight="false" outlineLevel="0" collapsed="false">
      <c r="A56" s="1" t="s">
        <v>51</v>
      </c>
      <c r="B56" s="1" t="s">
        <v>52</v>
      </c>
      <c r="C56" s="1" t="s">
        <v>53</v>
      </c>
      <c r="D56" s="1" t="s">
        <v>19</v>
      </c>
      <c r="E56" s="1" t="s">
        <v>20</v>
      </c>
      <c r="F56" s="2" t="n">
        <v>17</v>
      </c>
      <c r="G56" s="1" t="s">
        <v>26</v>
      </c>
      <c r="H56" s="2" t="n">
        <v>0.1</v>
      </c>
      <c r="I56" s="2" t="n">
        <v>0.279460831002446</v>
      </c>
      <c r="J56" s="2" t="n">
        <v>0.402331872649367</v>
      </c>
      <c r="K56" s="2" t="n">
        <f aca="false">J56-I56</f>
        <v>0.122871041646921</v>
      </c>
      <c r="L56" s="2" t="n">
        <v>0.69768144989318</v>
      </c>
    </row>
    <row r="57" customFormat="false" ht="15" hidden="false" customHeight="false" outlineLevel="0" collapsed="false">
      <c r="A57" s="1" t="s">
        <v>56</v>
      </c>
      <c r="B57" s="1" t="s">
        <v>57</v>
      </c>
      <c r="C57" s="1" t="s">
        <v>58</v>
      </c>
      <c r="D57" s="1" t="s">
        <v>19</v>
      </c>
      <c r="E57" s="1" t="s">
        <v>20</v>
      </c>
      <c r="F57" s="2" t="n">
        <v>19</v>
      </c>
      <c r="G57" s="1" t="s">
        <v>41</v>
      </c>
      <c r="H57" s="2" t="n">
        <v>0.1884</v>
      </c>
      <c r="I57" s="2" t="n">
        <v>0.370228145075082</v>
      </c>
      <c r="J57" s="2" t="n">
        <v>0.323900664706884</v>
      </c>
      <c r="K57" s="2" t="n">
        <f aca="false">J57-I57</f>
        <v>-0.0463274803681979</v>
      </c>
      <c r="L57" s="2" t="n">
        <v>0.619580092617654</v>
      </c>
    </row>
    <row r="58" customFormat="false" ht="15" hidden="false" customHeight="false" outlineLevel="0" collapsed="false">
      <c r="A58" s="1" t="s">
        <v>56</v>
      </c>
      <c r="B58" s="1" t="s">
        <v>57</v>
      </c>
      <c r="C58" s="1" t="s">
        <v>58</v>
      </c>
      <c r="D58" s="1" t="s">
        <v>19</v>
      </c>
      <c r="E58" s="1" t="s">
        <v>20</v>
      </c>
      <c r="F58" s="2" t="n">
        <v>19</v>
      </c>
      <c r="G58" s="1" t="s">
        <v>30</v>
      </c>
      <c r="H58" s="2" t="n">
        <v>0.1878</v>
      </c>
      <c r="I58" s="2" t="n">
        <v>0.368912214531915</v>
      </c>
      <c r="J58" s="2" t="n">
        <v>0.342165630442714</v>
      </c>
      <c r="K58" s="2" t="n">
        <f aca="false">J58-I58</f>
        <v>-0.0267465840892007</v>
      </c>
      <c r="L58" s="2" t="n">
        <v>0.619580092617654</v>
      </c>
    </row>
    <row r="59" customFormat="false" ht="15" hidden="false" customHeight="false" outlineLevel="0" collapsed="false">
      <c r="A59" s="1" t="s">
        <v>56</v>
      </c>
      <c r="B59" s="1" t="s">
        <v>57</v>
      </c>
      <c r="C59" s="1" t="s">
        <v>58</v>
      </c>
      <c r="D59" s="1" t="s">
        <v>19</v>
      </c>
      <c r="E59" s="1" t="s">
        <v>20</v>
      </c>
      <c r="F59" s="2" t="n">
        <v>19</v>
      </c>
      <c r="G59" s="1" t="s">
        <v>54</v>
      </c>
      <c r="H59" s="2" t="n">
        <v>0.1832</v>
      </c>
      <c r="I59" s="2" t="n">
        <v>0.359892368832381</v>
      </c>
      <c r="J59" s="2" t="n">
        <v>0.303904695912601</v>
      </c>
      <c r="K59" s="2" t="n">
        <f aca="false">J59-I59</f>
        <v>-0.0559876729197791</v>
      </c>
      <c r="L59" s="2" t="n">
        <v>0.619580092617654</v>
      </c>
    </row>
    <row r="60" customFormat="false" ht="15" hidden="false" customHeight="false" outlineLevel="0" collapsed="false">
      <c r="A60" s="1" t="s">
        <v>56</v>
      </c>
      <c r="B60" s="1" t="s">
        <v>57</v>
      </c>
      <c r="C60" s="1" t="s">
        <v>58</v>
      </c>
      <c r="D60" s="1" t="s">
        <v>19</v>
      </c>
      <c r="E60" s="1" t="s">
        <v>20</v>
      </c>
      <c r="F60" s="2" t="n">
        <v>19</v>
      </c>
      <c r="G60" s="1" t="s">
        <v>22</v>
      </c>
      <c r="H60" s="2" t="n">
        <v>0.1738</v>
      </c>
      <c r="I60" s="2" t="n">
        <v>0.34157191755916</v>
      </c>
      <c r="J60" s="2" t="n">
        <v>0.382175748189334</v>
      </c>
      <c r="K60" s="2" t="n">
        <f aca="false">J60-I60</f>
        <v>0.0406038306301737</v>
      </c>
      <c r="L60" s="2" t="n">
        <v>0.619580092617654</v>
      </c>
    </row>
    <row r="61" customFormat="false" ht="15" hidden="false" customHeight="false" outlineLevel="0" collapsed="false">
      <c r="A61" s="1" t="s">
        <v>56</v>
      </c>
      <c r="B61" s="1" t="s">
        <v>57</v>
      </c>
      <c r="C61" s="1" t="s">
        <v>58</v>
      </c>
      <c r="D61" s="1" t="s">
        <v>19</v>
      </c>
      <c r="E61" s="1" t="s">
        <v>20</v>
      </c>
      <c r="F61" s="2" t="n">
        <v>19</v>
      </c>
      <c r="G61" s="1" t="s">
        <v>59</v>
      </c>
      <c r="H61" s="2" t="n">
        <v>0.1668</v>
      </c>
      <c r="I61" s="2" t="n">
        <v>0.327775096257166</v>
      </c>
      <c r="J61" s="2" t="n">
        <v>0.304537101707569</v>
      </c>
      <c r="K61" s="2" t="n">
        <f aca="false">J61-I61</f>
        <v>-0.0232379945495976</v>
      </c>
      <c r="L61" s="2" t="n">
        <v>0.619580092617654</v>
      </c>
    </row>
    <row r="62" customFormat="false" ht="15" hidden="false" customHeight="false" outlineLevel="0" collapsed="false">
      <c r="A62" s="1" t="s">
        <v>56</v>
      </c>
      <c r="B62" s="1" t="s">
        <v>57</v>
      </c>
      <c r="C62" s="1" t="s">
        <v>58</v>
      </c>
      <c r="D62" s="1" t="s">
        <v>19</v>
      </c>
      <c r="E62" s="1" t="s">
        <v>20</v>
      </c>
      <c r="F62" s="2" t="n">
        <v>19</v>
      </c>
      <c r="G62" s="1" t="s">
        <v>26</v>
      </c>
      <c r="H62" s="2" t="n">
        <v>0.1</v>
      </c>
      <c r="I62" s="2" t="n">
        <v>0.321042015101217</v>
      </c>
      <c r="J62" s="2" t="n">
        <v>0.310902277544611</v>
      </c>
      <c r="K62" s="2" t="n">
        <f aca="false">J62-I62</f>
        <v>-0.0101397375566056</v>
      </c>
      <c r="L62" s="2" t="n">
        <v>0.619580092617654</v>
      </c>
    </row>
    <row r="63" customFormat="false" ht="15" hidden="false" customHeight="false" outlineLevel="0" collapsed="false">
      <c r="A63" s="1" t="s">
        <v>60</v>
      </c>
      <c r="B63" s="1" t="s">
        <v>61</v>
      </c>
      <c r="C63" s="1" t="s">
        <v>62</v>
      </c>
      <c r="D63" s="1" t="s">
        <v>19</v>
      </c>
      <c r="E63" s="1" t="s">
        <v>20</v>
      </c>
      <c r="F63" s="2" t="n">
        <v>21</v>
      </c>
      <c r="G63" s="1" t="s">
        <v>25</v>
      </c>
      <c r="H63" s="2" t="n">
        <v>0.1917</v>
      </c>
      <c r="I63" s="2" t="n">
        <v>0.283031277692654</v>
      </c>
      <c r="J63" s="2" t="n">
        <v>0.359359648760423</v>
      </c>
      <c r="K63" s="2" t="n">
        <f aca="false">J63-I63</f>
        <v>0.0763283710677684</v>
      </c>
      <c r="L63" s="2" t="n">
        <v>0.774921176890618</v>
      </c>
    </row>
    <row r="64" customFormat="false" ht="15" hidden="false" customHeight="false" outlineLevel="0" collapsed="false">
      <c r="A64" s="1" t="s">
        <v>60</v>
      </c>
      <c r="B64" s="1" t="s">
        <v>61</v>
      </c>
      <c r="C64" s="1" t="s">
        <v>62</v>
      </c>
      <c r="D64" s="1" t="s">
        <v>19</v>
      </c>
      <c r="E64" s="1" t="s">
        <v>20</v>
      </c>
      <c r="F64" s="2" t="n">
        <v>21</v>
      </c>
      <c r="G64" s="1" t="s">
        <v>21</v>
      </c>
      <c r="H64" s="2" t="n">
        <v>0.1903</v>
      </c>
      <c r="I64" s="2" t="n">
        <v>0.280964490214115</v>
      </c>
      <c r="J64" s="2" t="n">
        <v>0.376818085065802</v>
      </c>
      <c r="K64" s="2" t="n">
        <f aca="false">J64-I64</f>
        <v>0.0958535948516877</v>
      </c>
      <c r="L64" s="2" t="n">
        <v>0.774921176890618</v>
      </c>
    </row>
    <row r="65" customFormat="false" ht="15" hidden="false" customHeight="false" outlineLevel="0" collapsed="false">
      <c r="A65" s="1" t="s">
        <v>60</v>
      </c>
      <c r="B65" s="1" t="s">
        <v>61</v>
      </c>
      <c r="C65" s="1" t="s">
        <v>62</v>
      </c>
      <c r="D65" s="1" t="s">
        <v>19</v>
      </c>
      <c r="E65" s="1" t="s">
        <v>20</v>
      </c>
      <c r="F65" s="2" t="n">
        <v>21</v>
      </c>
      <c r="G65" s="1" t="s">
        <v>24</v>
      </c>
      <c r="H65" s="2" t="n">
        <v>0.1764</v>
      </c>
      <c r="I65" s="2" t="n">
        <v>0.260489836554565</v>
      </c>
      <c r="J65" s="2" t="n">
        <v>0.338888415039497</v>
      </c>
      <c r="K65" s="2" t="n">
        <f aca="false">J65-I65</f>
        <v>0.0783985784849318</v>
      </c>
      <c r="L65" s="2" t="n">
        <v>0.774921176890618</v>
      </c>
    </row>
    <row r="66" customFormat="false" ht="15" hidden="false" customHeight="false" outlineLevel="0" collapsed="false">
      <c r="A66" s="1" t="s">
        <v>60</v>
      </c>
      <c r="B66" s="1" t="s">
        <v>61</v>
      </c>
      <c r="C66" s="1" t="s">
        <v>62</v>
      </c>
      <c r="D66" s="1" t="s">
        <v>19</v>
      </c>
      <c r="E66" s="1" t="s">
        <v>20</v>
      </c>
      <c r="F66" s="2" t="n">
        <v>21</v>
      </c>
      <c r="G66" s="1" t="s">
        <v>30</v>
      </c>
      <c r="H66" s="2" t="n">
        <v>0.1713</v>
      </c>
      <c r="I66" s="2" t="n">
        <v>0.252855665192295</v>
      </c>
      <c r="J66" s="2" t="n">
        <v>0.333190142051145</v>
      </c>
      <c r="K66" s="2" t="n">
        <f aca="false">J66-I66</f>
        <v>0.0803344768588493</v>
      </c>
      <c r="L66" s="2" t="n">
        <v>0.774921176890618</v>
      </c>
    </row>
    <row r="67" customFormat="false" ht="15" hidden="false" customHeight="false" outlineLevel="0" collapsed="false">
      <c r="A67" s="1" t="s">
        <v>60</v>
      </c>
      <c r="B67" s="1" t="s">
        <v>61</v>
      </c>
      <c r="C67" s="1" t="s">
        <v>62</v>
      </c>
      <c r="D67" s="1" t="s">
        <v>19</v>
      </c>
      <c r="E67" s="1" t="s">
        <v>20</v>
      </c>
      <c r="F67" s="2" t="n">
        <v>21</v>
      </c>
      <c r="G67" s="1" t="s">
        <v>22</v>
      </c>
      <c r="H67" s="2" t="n">
        <v>0.1703</v>
      </c>
      <c r="I67" s="2" t="n">
        <v>0.251478729793474</v>
      </c>
      <c r="J67" s="2" t="n">
        <v>0.304322128358254</v>
      </c>
      <c r="K67" s="2" t="n">
        <f aca="false">J67-I67</f>
        <v>0.0528433985647799</v>
      </c>
      <c r="L67" s="2" t="n">
        <v>0.774921176890618</v>
      </c>
    </row>
    <row r="68" customFormat="false" ht="15" hidden="false" customHeight="false" outlineLevel="0" collapsed="false">
      <c r="A68" s="1" t="s">
        <v>60</v>
      </c>
      <c r="B68" s="1" t="s">
        <v>61</v>
      </c>
      <c r="C68" s="1" t="s">
        <v>62</v>
      </c>
      <c r="D68" s="1" t="s">
        <v>19</v>
      </c>
      <c r="E68" s="1" t="s">
        <v>20</v>
      </c>
      <c r="F68" s="2" t="n">
        <v>21</v>
      </c>
      <c r="G68" s="1" t="s">
        <v>26</v>
      </c>
      <c r="H68" s="2" t="n">
        <v>0.1</v>
      </c>
      <c r="I68" s="2" t="n">
        <v>0.187531162813569</v>
      </c>
      <c r="J68" s="2" t="n">
        <v>0.277218157126909</v>
      </c>
      <c r="K68" s="2" t="n">
        <f aca="false">J68-I68</f>
        <v>0.0896869943133399</v>
      </c>
      <c r="L68" s="2" t="n">
        <v>0.774921176890618</v>
      </c>
    </row>
    <row r="69" customFormat="false" ht="15" hidden="false" customHeight="false" outlineLevel="0" collapsed="false">
      <c r="A69" s="1" t="s">
        <v>63</v>
      </c>
      <c r="B69" s="1" t="s">
        <v>64</v>
      </c>
      <c r="C69" s="1" t="s">
        <v>65</v>
      </c>
      <c r="D69" s="1" t="s">
        <v>19</v>
      </c>
      <c r="E69" s="1" t="s">
        <v>20</v>
      </c>
      <c r="F69" s="2" t="n">
        <v>23</v>
      </c>
      <c r="G69" s="1" t="s">
        <v>21</v>
      </c>
      <c r="H69" s="2" t="n">
        <v>0.1984</v>
      </c>
      <c r="I69" s="2" t="n">
        <v>0.292586798294043</v>
      </c>
      <c r="J69" s="2" t="n">
        <v>0.357103930856454</v>
      </c>
      <c r="K69" s="2" t="n">
        <f aca="false">J69-I69</f>
        <v>0.0645171325624106</v>
      </c>
      <c r="L69" s="2" t="n">
        <v>0.753553709109679</v>
      </c>
    </row>
    <row r="70" customFormat="false" ht="15" hidden="false" customHeight="false" outlineLevel="0" collapsed="false">
      <c r="A70" s="1" t="s">
        <v>63</v>
      </c>
      <c r="B70" s="1" t="s">
        <v>64</v>
      </c>
      <c r="C70" s="1" t="s">
        <v>65</v>
      </c>
      <c r="D70" s="1" t="s">
        <v>19</v>
      </c>
      <c r="E70" s="1" t="s">
        <v>20</v>
      </c>
      <c r="F70" s="2" t="n">
        <v>23</v>
      </c>
      <c r="G70" s="1" t="s">
        <v>25</v>
      </c>
      <c r="H70" s="2" t="n">
        <v>0.1895</v>
      </c>
      <c r="I70" s="2" t="n">
        <v>0.279510714058576</v>
      </c>
      <c r="J70" s="2" t="n">
        <v>0.32818825913759</v>
      </c>
      <c r="K70" s="2" t="n">
        <f aca="false">J70-I70</f>
        <v>0.0486775450790144</v>
      </c>
      <c r="L70" s="2" t="n">
        <v>0.753553709109679</v>
      </c>
    </row>
    <row r="71" customFormat="false" ht="15" hidden="false" customHeight="false" outlineLevel="0" collapsed="false">
      <c r="A71" s="1" t="s">
        <v>63</v>
      </c>
      <c r="B71" s="1" t="s">
        <v>64</v>
      </c>
      <c r="C71" s="1" t="s">
        <v>65</v>
      </c>
      <c r="D71" s="1" t="s">
        <v>19</v>
      </c>
      <c r="E71" s="1" t="s">
        <v>20</v>
      </c>
      <c r="F71" s="2" t="n">
        <v>23</v>
      </c>
      <c r="G71" s="1" t="s">
        <v>24</v>
      </c>
      <c r="H71" s="2" t="n">
        <v>0.1821</v>
      </c>
      <c r="I71" s="2" t="n">
        <v>0.268514691097023</v>
      </c>
      <c r="J71" s="2" t="n">
        <v>0.328800096543194</v>
      </c>
      <c r="K71" s="2" t="n">
        <f aca="false">J71-I71</f>
        <v>0.0602854054461709</v>
      </c>
      <c r="L71" s="2" t="n">
        <v>0.753553709109679</v>
      </c>
    </row>
    <row r="72" customFormat="false" ht="15" hidden="false" customHeight="false" outlineLevel="0" collapsed="false">
      <c r="A72" s="1" t="s">
        <v>63</v>
      </c>
      <c r="B72" s="1" t="s">
        <v>64</v>
      </c>
      <c r="C72" s="1" t="s">
        <v>65</v>
      </c>
      <c r="D72" s="1" t="s">
        <v>19</v>
      </c>
      <c r="E72" s="1" t="s">
        <v>20</v>
      </c>
      <c r="F72" s="2" t="n">
        <v>23</v>
      </c>
      <c r="G72" s="1" t="s">
        <v>22</v>
      </c>
      <c r="H72" s="2" t="n">
        <v>0.166</v>
      </c>
      <c r="I72" s="2" t="n">
        <v>0.244804817540767</v>
      </c>
      <c r="J72" s="2" t="n">
        <v>0.308036860930082</v>
      </c>
      <c r="K72" s="2" t="n">
        <f aca="false">J72-I72</f>
        <v>0.0632320433893144</v>
      </c>
      <c r="L72" s="2" t="n">
        <v>0.753553709109679</v>
      </c>
    </row>
    <row r="73" customFormat="false" ht="15" hidden="false" customHeight="false" outlineLevel="0" collapsed="false">
      <c r="A73" s="1" t="s">
        <v>63</v>
      </c>
      <c r="B73" s="1" t="s">
        <v>64</v>
      </c>
      <c r="C73" s="1" t="s">
        <v>65</v>
      </c>
      <c r="D73" s="1" t="s">
        <v>19</v>
      </c>
      <c r="E73" s="1" t="s">
        <v>20</v>
      </c>
      <c r="F73" s="2" t="n">
        <v>23</v>
      </c>
      <c r="G73" s="1" t="s">
        <v>30</v>
      </c>
      <c r="H73" s="2" t="n">
        <v>0.164</v>
      </c>
      <c r="I73" s="2" t="n">
        <v>0.241883377352406</v>
      </c>
      <c r="J73" s="2" t="n">
        <v>0.2960231553822</v>
      </c>
      <c r="K73" s="2" t="n">
        <f aca="false">J73-I73</f>
        <v>0.0541397780297944</v>
      </c>
      <c r="L73" s="2" t="n">
        <v>0.753553709109679</v>
      </c>
    </row>
    <row r="74" customFormat="false" ht="15" hidden="false" customHeight="false" outlineLevel="0" collapsed="false">
      <c r="A74" s="1" t="s">
        <v>63</v>
      </c>
      <c r="B74" s="1" t="s">
        <v>64</v>
      </c>
      <c r="C74" s="1" t="s">
        <v>65</v>
      </c>
      <c r="D74" s="1" t="s">
        <v>19</v>
      </c>
      <c r="E74" s="1" t="s">
        <v>20</v>
      </c>
      <c r="F74" s="2" t="n">
        <v>23</v>
      </c>
      <c r="G74" s="1" t="s">
        <v>26</v>
      </c>
      <c r="H74" s="2" t="n">
        <v>0.1</v>
      </c>
      <c r="I74" s="2" t="n">
        <v>0.177126634109051</v>
      </c>
      <c r="J74" s="2" t="n">
        <v>0.239642507457167</v>
      </c>
      <c r="K74" s="2" t="n">
        <f aca="false">J74-I74</f>
        <v>0.0625158733481163</v>
      </c>
      <c r="L74" s="2" t="n">
        <v>0.753553709109679</v>
      </c>
    </row>
    <row r="75" customFormat="false" ht="15" hidden="false" customHeight="false" outlineLevel="0" collapsed="false">
      <c r="A75" s="1" t="s">
        <v>66</v>
      </c>
      <c r="B75" s="1" t="s">
        <v>67</v>
      </c>
      <c r="C75" s="1" t="s">
        <v>68</v>
      </c>
      <c r="D75" s="1" t="s">
        <v>19</v>
      </c>
      <c r="E75" s="1" t="s">
        <v>20</v>
      </c>
      <c r="F75" s="2" t="n">
        <v>25</v>
      </c>
      <c r="G75" s="1" t="s">
        <v>21</v>
      </c>
      <c r="H75" s="2" t="n">
        <v>0.19</v>
      </c>
      <c r="I75" s="2" t="n">
        <v>0.267486707007953</v>
      </c>
      <c r="J75" s="2" t="n">
        <v>0.390391996653718</v>
      </c>
      <c r="K75" s="2" t="n">
        <f aca="false">J75-I75</f>
        <v>0.122905289645765</v>
      </c>
      <c r="L75" s="2" t="n">
        <v>0.672563929439104</v>
      </c>
    </row>
    <row r="76" customFormat="false" ht="15" hidden="false" customHeight="false" outlineLevel="0" collapsed="false">
      <c r="A76" s="1" t="s">
        <v>66</v>
      </c>
      <c r="B76" s="1" t="s">
        <v>67</v>
      </c>
      <c r="C76" s="1" t="s">
        <v>68</v>
      </c>
      <c r="D76" s="1" t="s">
        <v>19</v>
      </c>
      <c r="E76" s="1" t="s">
        <v>20</v>
      </c>
      <c r="F76" s="2" t="n">
        <v>25</v>
      </c>
      <c r="G76" s="1" t="s">
        <v>22</v>
      </c>
      <c r="H76" s="2" t="n">
        <v>0.186</v>
      </c>
      <c r="I76" s="2" t="n">
        <v>0.261832496704407</v>
      </c>
      <c r="J76" s="2" t="n">
        <v>0.349198027862274</v>
      </c>
      <c r="K76" s="2" t="n">
        <f aca="false">J76-I76</f>
        <v>0.087365531157867</v>
      </c>
      <c r="L76" s="2" t="n">
        <v>0.672563929439104</v>
      </c>
    </row>
    <row r="77" customFormat="false" ht="15" hidden="false" customHeight="false" outlineLevel="0" collapsed="false">
      <c r="A77" s="1" t="s">
        <v>66</v>
      </c>
      <c r="B77" s="1" t="s">
        <v>67</v>
      </c>
      <c r="C77" s="1" t="s">
        <v>68</v>
      </c>
      <c r="D77" s="1" t="s">
        <v>19</v>
      </c>
      <c r="E77" s="1" t="s">
        <v>20</v>
      </c>
      <c r="F77" s="2" t="n">
        <v>25</v>
      </c>
      <c r="G77" s="1" t="s">
        <v>25</v>
      </c>
      <c r="H77" s="2" t="n">
        <v>0.1843</v>
      </c>
      <c r="I77" s="2" t="n">
        <v>0.259406071180284</v>
      </c>
      <c r="J77" s="2" t="n">
        <v>0.343526840800274</v>
      </c>
      <c r="K77" s="2" t="n">
        <f aca="false">J77-I77</f>
        <v>0.0841207696199904</v>
      </c>
      <c r="L77" s="2" t="n">
        <v>0.672563929439104</v>
      </c>
    </row>
    <row r="78" customFormat="false" ht="15" hidden="false" customHeight="false" outlineLevel="0" collapsed="false">
      <c r="A78" s="1" t="s">
        <v>66</v>
      </c>
      <c r="B78" s="1" t="s">
        <v>67</v>
      </c>
      <c r="C78" s="1" t="s">
        <v>68</v>
      </c>
      <c r="D78" s="1" t="s">
        <v>19</v>
      </c>
      <c r="E78" s="1" t="s">
        <v>20</v>
      </c>
      <c r="F78" s="2" t="n">
        <v>25</v>
      </c>
      <c r="G78" s="1" t="s">
        <v>24</v>
      </c>
      <c r="H78" s="2" t="n">
        <v>0.1745</v>
      </c>
      <c r="I78" s="2" t="n">
        <v>0.245552856175793</v>
      </c>
      <c r="J78" s="2" t="n">
        <v>0.328297703200118</v>
      </c>
      <c r="K78" s="2" t="n">
        <f aca="false">J78-I78</f>
        <v>0.0827448470243254</v>
      </c>
      <c r="L78" s="2" t="n">
        <v>0.672563929439104</v>
      </c>
    </row>
    <row r="79" customFormat="false" ht="15" hidden="false" customHeight="false" outlineLevel="0" collapsed="false">
      <c r="A79" s="1" t="s">
        <v>66</v>
      </c>
      <c r="B79" s="1" t="s">
        <v>67</v>
      </c>
      <c r="C79" s="1" t="s">
        <v>68</v>
      </c>
      <c r="D79" s="1" t="s">
        <v>19</v>
      </c>
      <c r="E79" s="1" t="s">
        <v>20</v>
      </c>
      <c r="F79" s="2" t="n">
        <v>25</v>
      </c>
      <c r="G79" s="1" t="s">
        <v>41</v>
      </c>
      <c r="H79" s="2" t="n">
        <v>0.1652</v>
      </c>
      <c r="I79" s="2" t="n">
        <v>0.2325450860273</v>
      </c>
      <c r="J79" s="2" t="n">
        <v>0.340182042112065</v>
      </c>
      <c r="K79" s="2" t="n">
        <f aca="false">J79-I79</f>
        <v>0.107636956084765</v>
      </c>
      <c r="L79" s="2" t="n">
        <v>0.672563929439104</v>
      </c>
    </row>
    <row r="80" customFormat="false" ht="15" hidden="false" customHeight="false" outlineLevel="0" collapsed="false">
      <c r="A80" s="1" t="s">
        <v>66</v>
      </c>
      <c r="B80" s="1" t="s">
        <v>67</v>
      </c>
      <c r="C80" s="1" t="s">
        <v>68</v>
      </c>
      <c r="D80" s="1" t="s">
        <v>19</v>
      </c>
      <c r="E80" s="1" t="s">
        <v>20</v>
      </c>
      <c r="F80" s="2" t="n">
        <v>25</v>
      </c>
      <c r="G80" s="1" t="s">
        <v>26</v>
      </c>
      <c r="H80" s="2" t="n">
        <v>0.1</v>
      </c>
      <c r="I80" s="2" t="n">
        <v>0.184533764775259</v>
      </c>
      <c r="J80" s="2" t="n">
        <v>0.271559104335294</v>
      </c>
      <c r="K80" s="2" t="n">
        <f aca="false">J80-I80</f>
        <v>0.0870253395600349</v>
      </c>
      <c r="L80" s="2" t="n">
        <v>0.672563929439104</v>
      </c>
    </row>
    <row r="81" customFormat="false" ht="15" hidden="false" customHeight="false" outlineLevel="0" collapsed="false">
      <c r="A81" s="1" t="s">
        <v>69</v>
      </c>
      <c r="B81" s="1" t="s">
        <v>70</v>
      </c>
      <c r="C81" s="1" t="s">
        <v>71</v>
      </c>
      <c r="D81" s="1" t="s">
        <v>19</v>
      </c>
      <c r="E81" s="1" t="s">
        <v>20</v>
      </c>
      <c r="F81" s="2" t="n">
        <v>27</v>
      </c>
      <c r="G81" s="1" t="s">
        <v>21</v>
      </c>
      <c r="H81" s="2" t="n">
        <v>0.2069</v>
      </c>
      <c r="I81" s="2" t="n">
        <v>0.355987890650242</v>
      </c>
      <c r="J81" s="2" t="n">
        <v>0.440866422197855</v>
      </c>
      <c r="K81" s="2" t="n">
        <f aca="false">J81-I81</f>
        <v>0.0848785315476132</v>
      </c>
      <c r="L81" s="2" t="n">
        <v>0.793428445401866</v>
      </c>
    </row>
    <row r="82" customFormat="false" ht="15" hidden="false" customHeight="false" outlineLevel="0" collapsed="false">
      <c r="A82" s="1" t="s">
        <v>69</v>
      </c>
      <c r="B82" s="1" t="s">
        <v>70</v>
      </c>
      <c r="C82" s="1" t="s">
        <v>71</v>
      </c>
      <c r="D82" s="1" t="s">
        <v>19</v>
      </c>
      <c r="E82" s="1" t="s">
        <v>20</v>
      </c>
      <c r="F82" s="2" t="n">
        <v>27</v>
      </c>
      <c r="G82" s="1" t="s">
        <v>22</v>
      </c>
      <c r="H82" s="2" t="n">
        <v>0.1834</v>
      </c>
      <c r="I82" s="2" t="n">
        <v>0.315598531537629</v>
      </c>
      <c r="J82" s="2" t="n">
        <v>0.402453773183662</v>
      </c>
      <c r="K82" s="2" t="n">
        <f aca="false">J82-I82</f>
        <v>0.086855241646033</v>
      </c>
      <c r="L82" s="2" t="n">
        <v>0.793428445401866</v>
      </c>
    </row>
    <row r="83" customFormat="false" ht="15" hidden="false" customHeight="false" outlineLevel="0" collapsed="false">
      <c r="A83" s="1" t="s">
        <v>69</v>
      </c>
      <c r="B83" s="1" t="s">
        <v>70</v>
      </c>
      <c r="C83" s="1" t="s">
        <v>71</v>
      </c>
      <c r="D83" s="1" t="s">
        <v>19</v>
      </c>
      <c r="E83" s="1" t="s">
        <v>20</v>
      </c>
      <c r="F83" s="2" t="n">
        <v>27</v>
      </c>
      <c r="G83" s="1" t="s">
        <v>30</v>
      </c>
      <c r="H83" s="2" t="n">
        <v>0.1717</v>
      </c>
      <c r="I83" s="2" t="n">
        <v>0.295409367554066</v>
      </c>
      <c r="J83" s="2" t="n">
        <v>0.359942539145436</v>
      </c>
      <c r="K83" s="2" t="n">
        <f aca="false">J83-I83</f>
        <v>0.06453317159137</v>
      </c>
      <c r="L83" s="2" t="n">
        <v>0.793428445401866</v>
      </c>
    </row>
    <row r="84" customFormat="false" ht="15" hidden="false" customHeight="false" outlineLevel="0" collapsed="false">
      <c r="A84" s="1" t="s">
        <v>69</v>
      </c>
      <c r="B84" s="1" t="s">
        <v>70</v>
      </c>
      <c r="C84" s="1" t="s">
        <v>71</v>
      </c>
      <c r="D84" s="1" t="s">
        <v>19</v>
      </c>
      <c r="E84" s="1" t="s">
        <v>20</v>
      </c>
      <c r="F84" s="2" t="n">
        <v>27</v>
      </c>
      <c r="G84" s="1" t="s">
        <v>24</v>
      </c>
      <c r="H84" s="2" t="n">
        <v>0.1712</v>
      </c>
      <c r="I84" s="2" t="n">
        <v>0.294547743717259</v>
      </c>
      <c r="J84" s="2" t="n">
        <v>0.356041393045773</v>
      </c>
      <c r="K84" s="2" t="n">
        <f aca="false">J84-I84</f>
        <v>0.0614936493285136</v>
      </c>
      <c r="L84" s="2" t="n">
        <v>0.793428445401866</v>
      </c>
    </row>
    <row r="85" customFormat="false" ht="15" hidden="false" customHeight="false" outlineLevel="0" collapsed="false">
      <c r="A85" s="1" t="s">
        <v>69</v>
      </c>
      <c r="B85" s="1" t="s">
        <v>70</v>
      </c>
      <c r="C85" s="1" t="s">
        <v>71</v>
      </c>
      <c r="D85" s="1" t="s">
        <v>19</v>
      </c>
      <c r="E85" s="1" t="s">
        <v>20</v>
      </c>
      <c r="F85" s="2" t="n">
        <v>27</v>
      </c>
      <c r="G85" s="1" t="s">
        <v>25</v>
      </c>
      <c r="H85" s="2" t="n">
        <v>0.1669</v>
      </c>
      <c r="I85" s="2" t="n">
        <v>0.287112087648181</v>
      </c>
      <c r="J85" s="2" t="n">
        <v>0.319558249190694</v>
      </c>
      <c r="K85" s="2" t="n">
        <f aca="false">J85-I85</f>
        <v>0.0324461615425129</v>
      </c>
      <c r="L85" s="2" t="n">
        <v>0.793428445401866</v>
      </c>
    </row>
    <row r="86" customFormat="false" ht="15" hidden="false" customHeight="false" outlineLevel="0" collapsed="false">
      <c r="A86" s="1" t="s">
        <v>69</v>
      </c>
      <c r="B86" s="1" t="s">
        <v>70</v>
      </c>
      <c r="C86" s="1" t="s">
        <v>71</v>
      </c>
      <c r="D86" s="1" t="s">
        <v>19</v>
      </c>
      <c r="E86" s="1" t="s">
        <v>20</v>
      </c>
      <c r="F86" s="2" t="n">
        <v>27</v>
      </c>
      <c r="G86" s="1" t="s">
        <v>26</v>
      </c>
      <c r="H86" s="2" t="n">
        <v>0.1</v>
      </c>
      <c r="I86" s="2" t="n">
        <v>0.227536314850563</v>
      </c>
      <c r="J86" s="2" t="n">
        <v>0.304039557823498</v>
      </c>
      <c r="K86" s="2" t="n">
        <f aca="false">J86-I86</f>
        <v>0.0765032429729342</v>
      </c>
      <c r="L86" s="2" t="n">
        <v>0.793428445401866</v>
      </c>
    </row>
    <row r="87" customFormat="false" ht="15" hidden="false" customHeight="false" outlineLevel="0" collapsed="false">
      <c r="A87" s="1" t="s">
        <v>72</v>
      </c>
      <c r="B87" s="1" t="s">
        <v>73</v>
      </c>
      <c r="C87" s="1" t="s">
        <v>74</v>
      </c>
      <c r="D87" s="1" t="s">
        <v>19</v>
      </c>
      <c r="E87" s="1" t="s">
        <v>20</v>
      </c>
      <c r="F87" s="2" t="n">
        <v>29</v>
      </c>
      <c r="G87" s="1" t="s">
        <v>21</v>
      </c>
      <c r="H87" s="2" t="n">
        <v>0.2068</v>
      </c>
      <c r="I87" s="2" t="n">
        <v>0.417023646182275</v>
      </c>
      <c r="J87" s="2" t="n">
        <v>0.397508010568729</v>
      </c>
      <c r="K87" s="2" t="n">
        <f aca="false">J87-I87</f>
        <v>-0.0195156356135462</v>
      </c>
      <c r="L87" s="2" t="n">
        <v>0.822215644660448</v>
      </c>
    </row>
    <row r="88" customFormat="false" ht="15" hidden="false" customHeight="false" outlineLevel="0" collapsed="false">
      <c r="A88" s="1" t="s">
        <v>72</v>
      </c>
      <c r="B88" s="1" t="s">
        <v>73</v>
      </c>
      <c r="C88" s="1" t="s">
        <v>74</v>
      </c>
      <c r="D88" s="1" t="s">
        <v>19</v>
      </c>
      <c r="E88" s="1" t="s">
        <v>20</v>
      </c>
      <c r="F88" s="2" t="n">
        <v>29</v>
      </c>
      <c r="G88" s="1" t="s">
        <v>22</v>
      </c>
      <c r="H88" s="2" t="n">
        <v>0.1858</v>
      </c>
      <c r="I88" s="2" t="n">
        <v>0.374619446677695</v>
      </c>
      <c r="J88" s="2" t="n">
        <v>0.378162576914022</v>
      </c>
      <c r="K88" s="2" t="n">
        <f aca="false">J88-I88</f>
        <v>0.00354313023632741</v>
      </c>
      <c r="L88" s="2" t="n">
        <v>0.822215644660448</v>
      </c>
    </row>
    <row r="89" customFormat="false" ht="15" hidden="false" customHeight="false" outlineLevel="0" collapsed="false">
      <c r="A89" s="1" t="s">
        <v>72</v>
      </c>
      <c r="B89" s="1" t="s">
        <v>73</v>
      </c>
      <c r="C89" s="1" t="s">
        <v>74</v>
      </c>
      <c r="D89" s="1" t="s">
        <v>19</v>
      </c>
      <c r="E89" s="1" t="s">
        <v>20</v>
      </c>
      <c r="F89" s="2" t="n">
        <v>29</v>
      </c>
      <c r="G89" s="1" t="s">
        <v>30</v>
      </c>
      <c r="H89" s="2" t="n">
        <v>0.1755</v>
      </c>
      <c r="I89" s="2" t="n">
        <v>0.353971745225326</v>
      </c>
      <c r="J89" s="2" t="n">
        <v>0.380898748255364</v>
      </c>
      <c r="K89" s="2" t="n">
        <f aca="false">J89-I89</f>
        <v>0.0269270030300376</v>
      </c>
      <c r="L89" s="2" t="n">
        <v>0.822215644660448</v>
      </c>
    </row>
    <row r="90" customFormat="false" ht="15" hidden="false" customHeight="false" outlineLevel="0" collapsed="false">
      <c r="A90" s="1" t="s">
        <v>72</v>
      </c>
      <c r="B90" s="1" t="s">
        <v>73</v>
      </c>
      <c r="C90" s="1" t="s">
        <v>74</v>
      </c>
      <c r="D90" s="1" t="s">
        <v>19</v>
      </c>
      <c r="E90" s="1" t="s">
        <v>20</v>
      </c>
      <c r="F90" s="2" t="n">
        <v>29</v>
      </c>
      <c r="G90" s="1" t="s">
        <v>24</v>
      </c>
      <c r="H90" s="2" t="n">
        <v>0.1726</v>
      </c>
      <c r="I90" s="2" t="n">
        <v>0.348105937035729</v>
      </c>
      <c r="J90" s="2" t="n">
        <v>0.324168522856479</v>
      </c>
      <c r="K90" s="2" t="n">
        <f aca="false">J90-I90</f>
        <v>-0.0239374141792493</v>
      </c>
      <c r="L90" s="2" t="n">
        <v>0.822215644660448</v>
      </c>
    </row>
    <row r="91" customFormat="false" ht="15" hidden="false" customHeight="false" outlineLevel="0" collapsed="false">
      <c r="A91" s="1" t="s">
        <v>72</v>
      </c>
      <c r="B91" s="1" t="s">
        <v>73</v>
      </c>
      <c r="C91" s="1" t="s">
        <v>74</v>
      </c>
      <c r="D91" s="1" t="s">
        <v>19</v>
      </c>
      <c r="E91" s="1" t="s">
        <v>20</v>
      </c>
      <c r="F91" s="2" t="n">
        <v>29</v>
      </c>
      <c r="G91" s="1" t="s">
        <v>34</v>
      </c>
      <c r="H91" s="2" t="n">
        <v>0.1593</v>
      </c>
      <c r="I91" s="2" t="n">
        <v>0.321289608823245</v>
      </c>
      <c r="J91" s="2" t="n">
        <v>0.339238008506413</v>
      </c>
      <c r="K91" s="2" t="n">
        <f aca="false">J91-I91</f>
        <v>0.0179483996831674</v>
      </c>
      <c r="L91" s="2" t="n">
        <v>0.822215644660448</v>
      </c>
    </row>
    <row r="92" customFormat="false" ht="15" hidden="false" customHeight="false" outlineLevel="0" collapsed="false">
      <c r="A92" s="1" t="s">
        <v>72</v>
      </c>
      <c r="B92" s="1" t="s">
        <v>73</v>
      </c>
      <c r="C92" s="1" t="s">
        <v>74</v>
      </c>
      <c r="D92" s="1" t="s">
        <v>19</v>
      </c>
      <c r="E92" s="1" t="s">
        <v>20</v>
      </c>
      <c r="F92" s="2" t="n">
        <v>29</v>
      </c>
      <c r="G92" s="1" t="s">
        <v>26</v>
      </c>
      <c r="H92" s="2" t="n">
        <v>0.1</v>
      </c>
      <c r="I92" s="2" t="n">
        <v>0.280683095832653</v>
      </c>
      <c r="J92" s="2" t="n">
        <v>0.309916538153662</v>
      </c>
      <c r="K92" s="2" t="n">
        <f aca="false">J92-I92</f>
        <v>0.0292334423210084</v>
      </c>
      <c r="L92" s="2" t="n">
        <v>0.822215644660448</v>
      </c>
    </row>
    <row r="93" customFormat="false" ht="15" hidden="false" customHeight="false" outlineLevel="0" collapsed="false">
      <c r="A93" s="1" t="s">
        <v>75</v>
      </c>
      <c r="B93" s="1" t="s">
        <v>76</v>
      </c>
      <c r="C93" s="1" t="s">
        <v>77</v>
      </c>
      <c r="D93" s="1" t="s">
        <v>19</v>
      </c>
      <c r="E93" s="1" t="s">
        <v>20</v>
      </c>
      <c r="F93" s="2" t="n">
        <v>31</v>
      </c>
      <c r="G93" s="1" t="s">
        <v>21</v>
      </c>
      <c r="H93" s="2" t="n">
        <v>0.1992</v>
      </c>
      <c r="I93" s="2" t="n">
        <v>0.344575961907749</v>
      </c>
      <c r="J93" s="2" t="n">
        <v>0.359526316732525</v>
      </c>
      <c r="K93" s="2" t="n">
        <f aca="false">J93-I93</f>
        <v>0.0149503548247763</v>
      </c>
      <c r="L93" s="2" t="n">
        <v>0.635332717811399</v>
      </c>
    </row>
    <row r="94" customFormat="false" ht="15" hidden="false" customHeight="false" outlineLevel="0" collapsed="false">
      <c r="A94" s="1" t="s">
        <v>75</v>
      </c>
      <c r="B94" s="1" t="s">
        <v>76</v>
      </c>
      <c r="C94" s="1" t="s">
        <v>77</v>
      </c>
      <c r="D94" s="1" t="s">
        <v>19</v>
      </c>
      <c r="E94" s="1" t="s">
        <v>20</v>
      </c>
      <c r="F94" s="2" t="n">
        <v>31</v>
      </c>
      <c r="G94" s="1" t="s">
        <v>22</v>
      </c>
      <c r="H94" s="2" t="n">
        <v>0.1851</v>
      </c>
      <c r="I94" s="2" t="n">
        <v>0.320104332902102</v>
      </c>
      <c r="J94" s="2" t="n">
        <v>0.309699341363488</v>
      </c>
      <c r="K94" s="2" t="n">
        <f aca="false">J94-I94</f>
        <v>-0.0104049915386146</v>
      </c>
      <c r="L94" s="2" t="n">
        <v>0.635332717811399</v>
      </c>
    </row>
    <row r="95" customFormat="false" ht="15" hidden="false" customHeight="false" outlineLevel="0" collapsed="false">
      <c r="A95" s="1" t="s">
        <v>75</v>
      </c>
      <c r="B95" s="1" t="s">
        <v>76</v>
      </c>
      <c r="C95" s="1" t="s">
        <v>77</v>
      </c>
      <c r="D95" s="1" t="s">
        <v>19</v>
      </c>
      <c r="E95" s="1" t="s">
        <v>20</v>
      </c>
      <c r="F95" s="2" t="n">
        <v>31</v>
      </c>
      <c r="G95" s="1" t="s">
        <v>30</v>
      </c>
      <c r="H95" s="2" t="n">
        <v>0.1782</v>
      </c>
      <c r="I95" s="2" t="n">
        <v>0.308295502927115</v>
      </c>
      <c r="J95" s="2" t="n">
        <v>0.31907181922801</v>
      </c>
      <c r="K95" s="2" t="n">
        <f aca="false">J95-I95</f>
        <v>0.0107763163008947</v>
      </c>
      <c r="L95" s="2" t="n">
        <v>0.635332717811399</v>
      </c>
    </row>
    <row r="96" customFormat="false" ht="15" hidden="false" customHeight="false" outlineLevel="0" collapsed="false">
      <c r="A96" s="1" t="s">
        <v>75</v>
      </c>
      <c r="B96" s="1" t="s">
        <v>76</v>
      </c>
      <c r="C96" s="1" t="s">
        <v>77</v>
      </c>
      <c r="D96" s="1" t="s">
        <v>19</v>
      </c>
      <c r="E96" s="1" t="s">
        <v>20</v>
      </c>
      <c r="F96" s="2" t="n">
        <v>31</v>
      </c>
      <c r="G96" s="1" t="s">
        <v>25</v>
      </c>
      <c r="H96" s="2" t="n">
        <v>0.1689</v>
      </c>
      <c r="I96" s="2" t="n">
        <v>0.292176495096649</v>
      </c>
      <c r="J96" s="2" t="n">
        <v>0.316240777923864</v>
      </c>
      <c r="K96" s="2" t="n">
        <f aca="false">J96-I96</f>
        <v>0.0240642828272158</v>
      </c>
      <c r="L96" s="2" t="n">
        <v>0.635332717811399</v>
      </c>
    </row>
    <row r="97" customFormat="false" ht="15" hidden="false" customHeight="false" outlineLevel="0" collapsed="false">
      <c r="A97" s="1" t="s">
        <v>75</v>
      </c>
      <c r="B97" s="1" t="s">
        <v>76</v>
      </c>
      <c r="C97" s="1" t="s">
        <v>77</v>
      </c>
      <c r="D97" s="1" t="s">
        <v>19</v>
      </c>
      <c r="E97" s="1" t="s">
        <v>20</v>
      </c>
      <c r="F97" s="2" t="n">
        <v>31</v>
      </c>
      <c r="G97" s="1" t="s">
        <v>23</v>
      </c>
      <c r="H97" s="2" t="n">
        <v>0.1685</v>
      </c>
      <c r="I97" s="2" t="n">
        <v>0.291497548850926</v>
      </c>
      <c r="J97" s="2" t="n">
        <v>0.361862887899078</v>
      </c>
      <c r="K97" s="2" t="n">
        <f aca="false">J97-I97</f>
        <v>0.0703653390481518</v>
      </c>
      <c r="L97" s="2" t="n">
        <v>0.635332717811399</v>
      </c>
    </row>
    <row r="98" customFormat="false" ht="15" hidden="false" customHeight="false" outlineLevel="0" collapsed="false">
      <c r="A98" s="1" t="s">
        <v>75</v>
      </c>
      <c r="B98" s="1" t="s">
        <v>76</v>
      </c>
      <c r="C98" s="1" t="s">
        <v>77</v>
      </c>
      <c r="D98" s="1" t="s">
        <v>19</v>
      </c>
      <c r="E98" s="1" t="s">
        <v>20</v>
      </c>
      <c r="F98" s="2" t="n">
        <v>31</v>
      </c>
      <c r="G98" s="1" t="s">
        <v>26</v>
      </c>
      <c r="H98" s="2" t="n">
        <v>0.1</v>
      </c>
      <c r="I98" s="2" t="n">
        <v>0.247418588288017</v>
      </c>
      <c r="J98" s="2" t="n">
        <v>0.269292923529217</v>
      </c>
      <c r="K98" s="2" t="n">
        <f aca="false">J98-I98</f>
        <v>0.0218743352412001</v>
      </c>
      <c r="L98" s="2" t="n">
        <v>0.635332717811399</v>
      </c>
    </row>
    <row r="99" customFormat="false" ht="15" hidden="false" customHeight="false" outlineLevel="0" collapsed="false">
      <c r="A99" s="1" t="s">
        <v>78</v>
      </c>
      <c r="B99" s="1" t="s">
        <v>79</v>
      </c>
      <c r="C99" s="1" t="s">
        <v>80</v>
      </c>
      <c r="D99" s="1" t="s">
        <v>19</v>
      </c>
      <c r="E99" s="1" t="s">
        <v>20</v>
      </c>
      <c r="F99" s="2" t="n">
        <v>33</v>
      </c>
      <c r="G99" s="1" t="s">
        <v>21</v>
      </c>
      <c r="H99" s="2" t="n">
        <v>0.1915</v>
      </c>
      <c r="I99" s="2" t="n">
        <v>0.286960075353201</v>
      </c>
      <c r="J99" s="2" t="n">
        <v>0.356332152569511</v>
      </c>
      <c r="K99" s="2" t="n">
        <f aca="false">J99-I99</f>
        <v>0.0693720772163103</v>
      </c>
      <c r="L99" s="2" t="n">
        <v>0.793594653760174</v>
      </c>
    </row>
    <row r="100" customFormat="false" ht="15" hidden="false" customHeight="false" outlineLevel="0" collapsed="false">
      <c r="A100" s="1" t="s">
        <v>78</v>
      </c>
      <c r="B100" s="1" t="s">
        <v>79</v>
      </c>
      <c r="C100" s="1" t="s">
        <v>80</v>
      </c>
      <c r="D100" s="1" t="s">
        <v>19</v>
      </c>
      <c r="E100" s="1" t="s">
        <v>20</v>
      </c>
      <c r="F100" s="2" t="n">
        <v>33</v>
      </c>
      <c r="G100" s="1" t="s">
        <v>41</v>
      </c>
      <c r="H100" s="2" t="n">
        <v>0.1853</v>
      </c>
      <c r="I100" s="2" t="n">
        <v>0.277699715202435</v>
      </c>
      <c r="J100" s="2" t="n">
        <v>0.317371260056864</v>
      </c>
      <c r="K100" s="2" t="n">
        <f aca="false">J100-I100</f>
        <v>0.0396715448544292</v>
      </c>
      <c r="L100" s="2" t="n">
        <v>0.793594653760174</v>
      </c>
    </row>
    <row r="101" customFormat="false" ht="15" hidden="false" customHeight="false" outlineLevel="0" collapsed="false">
      <c r="A101" s="1" t="s">
        <v>78</v>
      </c>
      <c r="B101" s="1" t="s">
        <v>79</v>
      </c>
      <c r="C101" s="1" t="s">
        <v>80</v>
      </c>
      <c r="D101" s="1" t="s">
        <v>19</v>
      </c>
      <c r="E101" s="1" t="s">
        <v>20</v>
      </c>
      <c r="F101" s="2" t="n">
        <v>33</v>
      </c>
      <c r="G101" s="1" t="s">
        <v>24</v>
      </c>
      <c r="H101" s="2" t="n">
        <v>0.1789</v>
      </c>
      <c r="I101" s="2" t="n">
        <v>0.268106068942051</v>
      </c>
      <c r="J101" s="2" t="n">
        <v>0.33264037575633</v>
      </c>
      <c r="K101" s="2" t="n">
        <f aca="false">J101-I101</f>
        <v>0.0645343068142785</v>
      </c>
      <c r="L101" s="2" t="n">
        <v>0.793594653760174</v>
      </c>
    </row>
    <row r="102" customFormat="false" ht="15" hidden="false" customHeight="false" outlineLevel="0" collapsed="false">
      <c r="A102" s="1" t="s">
        <v>78</v>
      </c>
      <c r="B102" s="1" t="s">
        <v>79</v>
      </c>
      <c r="C102" s="1" t="s">
        <v>80</v>
      </c>
      <c r="D102" s="1" t="s">
        <v>19</v>
      </c>
      <c r="E102" s="1" t="s">
        <v>20</v>
      </c>
      <c r="F102" s="2" t="n">
        <v>33</v>
      </c>
      <c r="G102" s="1" t="s">
        <v>23</v>
      </c>
      <c r="H102" s="2" t="n">
        <v>0.1726</v>
      </c>
      <c r="I102" s="2" t="n">
        <v>0.258671404794237</v>
      </c>
      <c r="J102" s="2" t="n">
        <v>0.311910952224877</v>
      </c>
      <c r="K102" s="2" t="n">
        <f aca="false">J102-I102</f>
        <v>0.0532395474306403</v>
      </c>
      <c r="L102" s="2" t="n">
        <v>0.793594653760174</v>
      </c>
    </row>
    <row r="103" customFormat="false" ht="15" hidden="false" customHeight="false" outlineLevel="0" collapsed="false">
      <c r="A103" s="1" t="s">
        <v>78</v>
      </c>
      <c r="B103" s="1" t="s">
        <v>79</v>
      </c>
      <c r="C103" s="1" t="s">
        <v>80</v>
      </c>
      <c r="D103" s="1" t="s">
        <v>19</v>
      </c>
      <c r="E103" s="1" t="s">
        <v>20</v>
      </c>
      <c r="F103" s="2" t="n">
        <v>33</v>
      </c>
      <c r="G103" s="1" t="s">
        <v>22</v>
      </c>
      <c r="H103" s="2" t="n">
        <v>0.1716</v>
      </c>
      <c r="I103" s="2" t="n">
        <v>0.257058132313315</v>
      </c>
      <c r="J103" s="2" t="n">
        <v>0.316410254496447</v>
      </c>
      <c r="K103" s="2" t="n">
        <f aca="false">J103-I103</f>
        <v>0.0593521221831319</v>
      </c>
      <c r="L103" s="2" t="n">
        <v>0.793594653760174</v>
      </c>
    </row>
    <row r="104" customFormat="false" ht="15" hidden="false" customHeight="false" outlineLevel="0" collapsed="false">
      <c r="A104" s="1" t="s">
        <v>78</v>
      </c>
      <c r="B104" s="1" t="s">
        <v>79</v>
      </c>
      <c r="C104" s="1" t="s">
        <v>80</v>
      </c>
      <c r="D104" s="1" t="s">
        <v>19</v>
      </c>
      <c r="E104" s="1" t="s">
        <v>20</v>
      </c>
      <c r="F104" s="2" t="n">
        <v>33</v>
      </c>
      <c r="G104" s="1" t="s">
        <v>26</v>
      </c>
      <c r="H104" s="2" t="n">
        <v>0.1</v>
      </c>
      <c r="I104" s="2" t="n">
        <v>0.185317484600466</v>
      </c>
      <c r="J104" s="2" t="n">
        <v>0.276094944722947</v>
      </c>
      <c r="K104" s="2" t="n">
        <f aca="false">J104-I104</f>
        <v>0.0907774601224801</v>
      </c>
      <c r="L104" s="2" t="n">
        <v>0.793594653760174</v>
      </c>
    </row>
    <row r="105" customFormat="false" ht="15" hidden="false" customHeight="false" outlineLevel="0" collapsed="false">
      <c r="A105" s="1" t="s">
        <v>81</v>
      </c>
      <c r="B105" s="1" t="s">
        <v>82</v>
      </c>
      <c r="C105" s="1" t="s">
        <v>83</v>
      </c>
      <c r="D105" s="1" t="s">
        <v>19</v>
      </c>
      <c r="E105" s="1" t="s">
        <v>20</v>
      </c>
      <c r="F105" s="2" t="n">
        <v>35</v>
      </c>
      <c r="G105" s="1" t="s">
        <v>21</v>
      </c>
      <c r="H105" s="2" t="n">
        <v>0.2029</v>
      </c>
      <c r="I105" s="2" t="n">
        <v>0.306164727990271</v>
      </c>
      <c r="J105" s="2" t="n">
        <v>0.352100952696043</v>
      </c>
      <c r="K105" s="2" t="n">
        <f aca="false">J105-I105</f>
        <v>0.0459362247057718</v>
      </c>
      <c r="L105" s="2" t="n">
        <v>0.704871448301166</v>
      </c>
    </row>
    <row r="106" customFormat="false" ht="15" hidden="false" customHeight="false" outlineLevel="0" collapsed="false">
      <c r="A106" s="1" t="s">
        <v>81</v>
      </c>
      <c r="B106" s="1" t="s">
        <v>82</v>
      </c>
      <c r="C106" s="1" t="s">
        <v>83</v>
      </c>
      <c r="D106" s="1" t="s">
        <v>19</v>
      </c>
      <c r="E106" s="1" t="s">
        <v>20</v>
      </c>
      <c r="F106" s="2" t="n">
        <v>35</v>
      </c>
      <c r="G106" s="1" t="s">
        <v>22</v>
      </c>
      <c r="H106" s="2" t="n">
        <v>0.1894</v>
      </c>
      <c r="I106" s="2" t="n">
        <v>0.285815745922593</v>
      </c>
      <c r="J106" s="2" t="n">
        <v>0.322897123583848</v>
      </c>
      <c r="K106" s="2" t="n">
        <f aca="false">J106-I106</f>
        <v>0.0370813776612544</v>
      </c>
      <c r="L106" s="2" t="n">
        <v>0.704871448301166</v>
      </c>
    </row>
    <row r="107" customFormat="false" ht="15" hidden="false" customHeight="false" outlineLevel="0" collapsed="false">
      <c r="A107" s="1" t="s">
        <v>81</v>
      </c>
      <c r="B107" s="1" t="s">
        <v>82</v>
      </c>
      <c r="C107" s="1" t="s">
        <v>83</v>
      </c>
      <c r="D107" s="1" t="s">
        <v>19</v>
      </c>
      <c r="E107" s="1" t="s">
        <v>20</v>
      </c>
      <c r="F107" s="2" t="n">
        <v>35</v>
      </c>
      <c r="G107" s="1" t="s">
        <v>24</v>
      </c>
      <c r="H107" s="2" t="n">
        <v>0.1771</v>
      </c>
      <c r="I107" s="2" t="n">
        <v>0.267174359660384</v>
      </c>
      <c r="J107" s="2" t="n">
        <v>0.29134237258526</v>
      </c>
      <c r="K107" s="2" t="n">
        <f aca="false">J107-I107</f>
        <v>0.0241680129248755</v>
      </c>
      <c r="L107" s="2" t="n">
        <v>0.704871448301166</v>
      </c>
    </row>
    <row r="108" customFormat="false" ht="15" hidden="false" customHeight="false" outlineLevel="0" collapsed="false">
      <c r="A108" s="1" t="s">
        <v>81</v>
      </c>
      <c r="B108" s="1" t="s">
        <v>82</v>
      </c>
      <c r="C108" s="1" t="s">
        <v>83</v>
      </c>
      <c r="D108" s="1" t="s">
        <v>19</v>
      </c>
      <c r="E108" s="1" t="s">
        <v>20</v>
      </c>
      <c r="F108" s="2" t="n">
        <v>35</v>
      </c>
      <c r="G108" s="1" t="s">
        <v>41</v>
      </c>
      <c r="H108" s="2" t="n">
        <v>0.17</v>
      </c>
      <c r="I108" s="2" t="n">
        <v>0.256548468791511</v>
      </c>
      <c r="J108" s="2" t="n">
        <v>0.303405370158601</v>
      </c>
      <c r="K108" s="2" t="n">
        <f aca="false">J108-I108</f>
        <v>0.0468569013670899</v>
      </c>
      <c r="L108" s="2" t="n">
        <v>0.704871448301166</v>
      </c>
    </row>
    <row r="109" customFormat="false" ht="15" hidden="false" customHeight="false" outlineLevel="0" collapsed="false">
      <c r="A109" s="1" t="s">
        <v>81</v>
      </c>
      <c r="B109" s="1" t="s">
        <v>82</v>
      </c>
      <c r="C109" s="1" t="s">
        <v>83</v>
      </c>
      <c r="D109" s="1" t="s">
        <v>19</v>
      </c>
      <c r="E109" s="1" t="s">
        <v>20</v>
      </c>
      <c r="F109" s="2" t="n">
        <v>35</v>
      </c>
      <c r="G109" s="1" t="s">
        <v>30</v>
      </c>
      <c r="H109" s="2" t="n">
        <v>0.1606</v>
      </c>
      <c r="I109" s="2" t="n">
        <v>0.242370105029618</v>
      </c>
      <c r="J109" s="2" t="n">
        <v>0.30701513672397</v>
      </c>
      <c r="K109" s="2" t="n">
        <f aca="false">J109-I109</f>
        <v>0.0646450316943521</v>
      </c>
      <c r="L109" s="2" t="n">
        <v>0.704871448301166</v>
      </c>
    </row>
    <row r="110" customFormat="false" ht="15" hidden="false" customHeight="false" outlineLevel="0" collapsed="false">
      <c r="A110" s="1" t="s">
        <v>81</v>
      </c>
      <c r="B110" s="1" t="s">
        <v>82</v>
      </c>
      <c r="C110" s="1" t="s">
        <v>83</v>
      </c>
      <c r="D110" s="1" t="s">
        <v>19</v>
      </c>
      <c r="E110" s="1" t="s">
        <v>20</v>
      </c>
      <c r="F110" s="2" t="n">
        <v>35</v>
      </c>
      <c r="G110" s="1" t="s">
        <v>26</v>
      </c>
      <c r="H110" s="2" t="n">
        <v>0.1</v>
      </c>
      <c r="I110" s="2" t="n">
        <v>0.20605278570039</v>
      </c>
      <c r="J110" s="2" t="n">
        <v>0.264247269883487</v>
      </c>
      <c r="K110" s="2" t="n">
        <f aca="false">J110-I110</f>
        <v>0.0581944841830964</v>
      </c>
      <c r="L110" s="2" t="n">
        <v>0.704871448301166</v>
      </c>
    </row>
    <row r="111" customFormat="false" ht="15" hidden="false" customHeight="false" outlineLevel="0" collapsed="false">
      <c r="A111" s="1" t="s">
        <v>84</v>
      </c>
      <c r="B111" s="1" t="s">
        <v>85</v>
      </c>
      <c r="C111" s="1" t="s">
        <v>86</v>
      </c>
      <c r="D111" s="1" t="s">
        <v>19</v>
      </c>
      <c r="E111" s="1" t="s">
        <v>20</v>
      </c>
      <c r="F111" s="2" t="n">
        <v>37</v>
      </c>
      <c r="G111" s="1" t="s">
        <v>21</v>
      </c>
      <c r="H111" s="2" t="n">
        <v>0.2011</v>
      </c>
      <c r="I111" s="2" t="n">
        <v>0.28649899111635</v>
      </c>
      <c r="J111" s="2" t="n">
        <v>0.381898335132772</v>
      </c>
      <c r="K111" s="2" t="n">
        <f aca="false">J111-I111</f>
        <v>0.0953993440164213</v>
      </c>
      <c r="L111" s="2" t="n">
        <v>0.807380134018013</v>
      </c>
    </row>
    <row r="112" customFormat="false" ht="15" hidden="false" customHeight="false" outlineLevel="0" collapsed="false">
      <c r="A112" s="1" t="s">
        <v>84</v>
      </c>
      <c r="B112" s="1" t="s">
        <v>85</v>
      </c>
      <c r="C112" s="1" t="s">
        <v>86</v>
      </c>
      <c r="D112" s="1" t="s">
        <v>19</v>
      </c>
      <c r="E112" s="1" t="s">
        <v>20</v>
      </c>
      <c r="F112" s="2" t="n">
        <v>37</v>
      </c>
      <c r="G112" s="1" t="s">
        <v>22</v>
      </c>
      <c r="H112" s="2" t="n">
        <v>0.1934</v>
      </c>
      <c r="I112" s="2" t="n">
        <v>0.275509943567455</v>
      </c>
      <c r="J112" s="2" t="n">
        <v>0.343542517392111</v>
      </c>
      <c r="K112" s="2" t="n">
        <f aca="false">J112-I112</f>
        <v>0.0680325738246568</v>
      </c>
      <c r="L112" s="2" t="n">
        <v>0.807380134018013</v>
      </c>
    </row>
    <row r="113" customFormat="false" ht="15" hidden="false" customHeight="false" outlineLevel="0" collapsed="false">
      <c r="A113" s="1" t="s">
        <v>84</v>
      </c>
      <c r="B113" s="1" t="s">
        <v>85</v>
      </c>
      <c r="C113" s="1" t="s">
        <v>86</v>
      </c>
      <c r="D113" s="1" t="s">
        <v>19</v>
      </c>
      <c r="E113" s="1" t="s">
        <v>20</v>
      </c>
      <c r="F113" s="2" t="n">
        <v>37</v>
      </c>
      <c r="G113" s="1" t="s">
        <v>41</v>
      </c>
      <c r="H113" s="2" t="n">
        <v>0.1883</v>
      </c>
      <c r="I113" s="2" t="n">
        <v>0.268196526147107</v>
      </c>
      <c r="J113" s="2" t="n">
        <v>0.386411186641711</v>
      </c>
      <c r="K113" s="2" t="n">
        <f aca="false">J113-I113</f>
        <v>0.118214660494604</v>
      </c>
      <c r="L113" s="2" t="n">
        <v>0.807380134018013</v>
      </c>
    </row>
    <row r="114" customFormat="false" ht="15" hidden="false" customHeight="false" outlineLevel="0" collapsed="false">
      <c r="A114" s="1" t="s">
        <v>84</v>
      </c>
      <c r="B114" s="1" t="s">
        <v>85</v>
      </c>
      <c r="C114" s="1" t="s">
        <v>86</v>
      </c>
      <c r="D114" s="1" t="s">
        <v>19</v>
      </c>
      <c r="E114" s="1" t="s">
        <v>20</v>
      </c>
      <c r="F114" s="2" t="n">
        <v>37</v>
      </c>
      <c r="G114" s="1" t="s">
        <v>24</v>
      </c>
      <c r="H114" s="2" t="n">
        <v>0.16</v>
      </c>
      <c r="I114" s="2" t="n">
        <v>0.227842697447106</v>
      </c>
      <c r="J114" s="2" t="n">
        <v>0.316776498029243</v>
      </c>
      <c r="K114" s="2" t="n">
        <f aca="false">J114-I114</f>
        <v>0.0889338005821372</v>
      </c>
      <c r="L114" s="2" t="n">
        <v>0.807380134018013</v>
      </c>
    </row>
    <row r="115" customFormat="false" ht="15" hidden="false" customHeight="false" outlineLevel="0" collapsed="false">
      <c r="A115" s="1" t="s">
        <v>84</v>
      </c>
      <c r="B115" s="1" t="s">
        <v>85</v>
      </c>
      <c r="C115" s="1" t="s">
        <v>86</v>
      </c>
      <c r="D115" s="1" t="s">
        <v>19</v>
      </c>
      <c r="E115" s="1" t="s">
        <v>20</v>
      </c>
      <c r="F115" s="2" t="n">
        <v>37</v>
      </c>
      <c r="G115" s="1" t="s">
        <v>30</v>
      </c>
      <c r="H115" s="2" t="n">
        <v>0.1572</v>
      </c>
      <c r="I115" s="2" t="n">
        <v>0.223859310735592</v>
      </c>
      <c r="J115" s="2" t="n">
        <v>0.345446617792298</v>
      </c>
      <c r="K115" s="2" t="n">
        <f aca="false">J115-I115</f>
        <v>0.121587307056706</v>
      </c>
      <c r="L115" s="2" t="n">
        <v>0.807380134018013</v>
      </c>
    </row>
    <row r="116" customFormat="false" ht="15" hidden="false" customHeight="false" outlineLevel="0" collapsed="false">
      <c r="A116" s="1" t="s">
        <v>84</v>
      </c>
      <c r="B116" s="1" t="s">
        <v>85</v>
      </c>
      <c r="C116" s="1" t="s">
        <v>86</v>
      </c>
      <c r="D116" s="1" t="s">
        <v>19</v>
      </c>
      <c r="E116" s="1" t="s">
        <v>20</v>
      </c>
      <c r="F116" s="2" t="n">
        <v>37</v>
      </c>
      <c r="G116" s="1" t="s">
        <v>26</v>
      </c>
      <c r="H116" s="2" t="n">
        <v>0.1</v>
      </c>
      <c r="I116" s="2" t="n">
        <v>0.177357766425684</v>
      </c>
      <c r="J116" s="2" t="n">
        <v>0.28139090676885</v>
      </c>
      <c r="K116" s="2" t="n">
        <f aca="false">J116-I116</f>
        <v>0.104033140343166</v>
      </c>
      <c r="L116" s="2" t="n">
        <v>0.807380134018013</v>
      </c>
    </row>
    <row r="117" customFormat="false" ht="15" hidden="false" customHeight="false" outlineLevel="0" collapsed="false">
      <c r="A117" s="1" t="s">
        <v>87</v>
      </c>
      <c r="B117" s="1" t="s">
        <v>88</v>
      </c>
      <c r="C117" s="1" t="s">
        <v>89</v>
      </c>
      <c r="D117" s="1" t="s">
        <v>19</v>
      </c>
      <c r="E117" s="1" t="s">
        <v>20</v>
      </c>
      <c r="F117" s="2" t="n">
        <v>39</v>
      </c>
      <c r="G117" s="1" t="s">
        <v>21</v>
      </c>
      <c r="H117" s="2" t="n">
        <v>0.2006</v>
      </c>
      <c r="I117" s="2" t="n">
        <v>0.326253650330422</v>
      </c>
      <c r="J117" s="2" t="n">
        <v>0.320353895810582</v>
      </c>
      <c r="K117" s="2" t="n">
        <f aca="false">J117-I117</f>
        <v>-0.00589975451984032</v>
      </c>
      <c r="L117" s="2" t="n">
        <v>0.685839894231455</v>
      </c>
    </row>
    <row r="118" customFormat="false" ht="15" hidden="false" customHeight="false" outlineLevel="0" collapsed="false">
      <c r="A118" s="1" t="s">
        <v>87</v>
      </c>
      <c r="B118" s="1" t="s">
        <v>88</v>
      </c>
      <c r="C118" s="1" t="s">
        <v>89</v>
      </c>
      <c r="D118" s="1" t="s">
        <v>19</v>
      </c>
      <c r="E118" s="1" t="s">
        <v>20</v>
      </c>
      <c r="F118" s="2" t="n">
        <v>39</v>
      </c>
      <c r="G118" s="1" t="s">
        <v>41</v>
      </c>
      <c r="H118" s="2" t="n">
        <v>0.1908</v>
      </c>
      <c r="I118" s="2" t="n">
        <v>0.310335011269913</v>
      </c>
      <c r="J118" s="2" t="n">
        <v>0.312702772816576</v>
      </c>
      <c r="K118" s="2" t="n">
        <f aca="false">J118-I118</f>
        <v>0.00236776154666302</v>
      </c>
      <c r="L118" s="2" t="n">
        <v>0.685839894231455</v>
      </c>
    </row>
    <row r="119" customFormat="false" ht="15" hidden="false" customHeight="false" outlineLevel="0" collapsed="false">
      <c r="A119" s="1" t="s">
        <v>87</v>
      </c>
      <c r="B119" s="1" t="s">
        <v>88</v>
      </c>
      <c r="C119" s="1" t="s">
        <v>89</v>
      </c>
      <c r="D119" s="1" t="s">
        <v>19</v>
      </c>
      <c r="E119" s="1" t="s">
        <v>20</v>
      </c>
      <c r="F119" s="2" t="n">
        <v>39</v>
      </c>
      <c r="G119" s="1" t="s">
        <v>22</v>
      </c>
      <c r="H119" s="2" t="n">
        <v>0.182</v>
      </c>
      <c r="I119" s="2" t="n">
        <v>0.296009210573459</v>
      </c>
      <c r="J119" s="2" t="n">
        <v>0.30480756518595</v>
      </c>
      <c r="K119" s="2" t="n">
        <f aca="false">J119-I119</f>
        <v>0.00879835461249107</v>
      </c>
      <c r="L119" s="2" t="n">
        <v>0.685839894231455</v>
      </c>
    </row>
    <row r="120" customFormat="false" ht="15" hidden="false" customHeight="false" outlineLevel="0" collapsed="false">
      <c r="A120" s="1" t="s">
        <v>87</v>
      </c>
      <c r="B120" s="1" t="s">
        <v>88</v>
      </c>
      <c r="C120" s="1" t="s">
        <v>89</v>
      </c>
      <c r="D120" s="1" t="s">
        <v>19</v>
      </c>
      <c r="E120" s="1" t="s">
        <v>20</v>
      </c>
      <c r="F120" s="2" t="n">
        <v>39</v>
      </c>
      <c r="G120" s="1" t="s">
        <v>30</v>
      </c>
      <c r="H120" s="2" t="n">
        <v>0.1691</v>
      </c>
      <c r="I120" s="2" t="n">
        <v>0.274941339875316</v>
      </c>
      <c r="J120" s="2" t="n">
        <v>0.313299808069231</v>
      </c>
      <c r="K120" s="2" t="n">
        <f aca="false">J120-I120</f>
        <v>0.0383584681939149</v>
      </c>
      <c r="L120" s="2" t="n">
        <v>0.685839894231455</v>
      </c>
    </row>
    <row r="121" customFormat="false" ht="15" hidden="false" customHeight="false" outlineLevel="0" collapsed="false">
      <c r="A121" s="1" t="s">
        <v>87</v>
      </c>
      <c r="B121" s="1" t="s">
        <v>88</v>
      </c>
      <c r="C121" s="1" t="s">
        <v>89</v>
      </c>
      <c r="D121" s="1" t="s">
        <v>19</v>
      </c>
      <c r="E121" s="1" t="s">
        <v>20</v>
      </c>
      <c r="F121" s="2" t="n">
        <v>39</v>
      </c>
      <c r="G121" s="1" t="s">
        <v>24</v>
      </c>
      <c r="H121" s="2" t="n">
        <v>0.1575</v>
      </c>
      <c r="I121" s="2" t="n">
        <v>0.256170462909877</v>
      </c>
      <c r="J121" s="2" t="n">
        <v>0.285134579879068</v>
      </c>
      <c r="K121" s="2" t="n">
        <f aca="false">J121-I121</f>
        <v>0.0289641169691906</v>
      </c>
      <c r="L121" s="2" t="n">
        <v>0.685839894231455</v>
      </c>
    </row>
    <row r="122" customFormat="false" ht="15" hidden="false" customHeight="false" outlineLevel="0" collapsed="false">
      <c r="A122" s="1" t="s">
        <v>87</v>
      </c>
      <c r="B122" s="1" t="s">
        <v>88</v>
      </c>
      <c r="C122" s="1" t="s">
        <v>89</v>
      </c>
      <c r="D122" s="1" t="s">
        <v>19</v>
      </c>
      <c r="E122" s="1" t="s">
        <v>20</v>
      </c>
      <c r="F122" s="2" t="n">
        <v>39</v>
      </c>
      <c r="G122" s="1" t="s">
        <v>26</v>
      </c>
      <c r="H122" s="2" t="n">
        <v>0.1</v>
      </c>
      <c r="I122" s="2" t="n">
        <v>0.240788204011492</v>
      </c>
      <c r="J122" s="2" t="n">
        <v>0.269235097311669</v>
      </c>
      <c r="K122" s="2" t="n">
        <f aca="false">J122-I122</f>
        <v>0.0284468933001774</v>
      </c>
      <c r="L122" s="2" t="n">
        <v>0.685839894231455</v>
      </c>
    </row>
    <row r="123" customFormat="false" ht="15" hidden="false" customHeight="false" outlineLevel="0" collapsed="false">
      <c r="A123" s="1" t="s">
        <v>90</v>
      </c>
      <c r="B123" s="1" t="s">
        <v>91</v>
      </c>
      <c r="C123" s="1" t="s">
        <v>92</v>
      </c>
      <c r="D123" s="1" t="s">
        <v>19</v>
      </c>
      <c r="E123" s="1" t="s">
        <v>20</v>
      </c>
      <c r="F123" s="2" t="n">
        <v>41</v>
      </c>
      <c r="G123" s="1" t="s">
        <v>21</v>
      </c>
      <c r="H123" s="2" t="n">
        <v>0.1869</v>
      </c>
      <c r="I123" s="2" t="n">
        <v>0.287222059535567</v>
      </c>
      <c r="J123" s="2" t="n">
        <v>0.371704552917096</v>
      </c>
      <c r="K123" s="2" t="n">
        <f aca="false">J123-I123</f>
        <v>0.0844824933815291</v>
      </c>
      <c r="L123" s="2" t="n">
        <v>0.744532936686859</v>
      </c>
    </row>
    <row r="124" customFormat="false" ht="15" hidden="false" customHeight="false" outlineLevel="0" collapsed="false">
      <c r="A124" s="1" t="s">
        <v>90</v>
      </c>
      <c r="B124" s="1" t="s">
        <v>91</v>
      </c>
      <c r="C124" s="1" t="s">
        <v>92</v>
      </c>
      <c r="D124" s="1" t="s">
        <v>19</v>
      </c>
      <c r="E124" s="1" t="s">
        <v>20</v>
      </c>
      <c r="F124" s="2" t="n">
        <v>41</v>
      </c>
      <c r="G124" s="1" t="s">
        <v>24</v>
      </c>
      <c r="H124" s="2" t="n">
        <v>0.1833</v>
      </c>
      <c r="I124" s="2" t="n">
        <v>0.281701323189599</v>
      </c>
      <c r="J124" s="2" t="n">
        <v>0.355090639690542</v>
      </c>
      <c r="K124" s="2" t="n">
        <f aca="false">J124-I124</f>
        <v>0.0733893165009438</v>
      </c>
      <c r="L124" s="2" t="n">
        <v>0.744532936686859</v>
      </c>
    </row>
    <row r="125" customFormat="false" ht="15" hidden="false" customHeight="false" outlineLevel="0" collapsed="false">
      <c r="A125" s="1" t="s">
        <v>90</v>
      </c>
      <c r="B125" s="1" t="s">
        <v>91</v>
      </c>
      <c r="C125" s="1" t="s">
        <v>92</v>
      </c>
      <c r="D125" s="1" t="s">
        <v>19</v>
      </c>
      <c r="E125" s="1" t="s">
        <v>20</v>
      </c>
      <c r="F125" s="2" t="n">
        <v>41</v>
      </c>
      <c r="G125" s="1" t="s">
        <v>30</v>
      </c>
      <c r="H125" s="2" t="n">
        <v>0.1807</v>
      </c>
      <c r="I125" s="2" t="n">
        <v>0.277677727797138</v>
      </c>
      <c r="J125" s="2" t="n">
        <v>0.340635678412716</v>
      </c>
      <c r="K125" s="2" t="n">
        <f aca="false">J125-I125</f>
        <v>0.0629579506155777</v>
      </c>
      <c r="L125" s="2" t="n">
        <v>0.744532936686859</v>
      </c>
    </row>
    <row r="126" customFormat="false" ht="15" hidden="false" customHeight="false" outlineLevel="0" collapsed="false">
      <c r="A126" s="1" t="s">
        <v>90</v>
      </c>
      <c r="B126" s="1" t="s">
        <v>91</v>
      </c>
      <c r="C126" s="1" t="s">
        <v>92</v>
      </c>
      <c r="D126" s="1" t="s">
        <v>19</v>
      </c>
      <c r="E126" s="1" t="s">
        <v>20</v>
      </c>
      <c r="F126" s="2" t="n">
        <v>41</v>
      </c>
      <c r="G126" s="1" t="s">
        <v>41</v>
      </c>
      <c r="H126" s="2" t="n">
        <v>0.178</v>
      </c>
      <c r="I126" s="2" t="n">
        <v>0.27354183430327</v>
      </c>
      <c r="J126" s="2" t="n">
        <v>0.273601050705798</v>
      </c>
      <c r="K126" s="2" t="n">
        <f aca="false">J126-I126</f>
        <v>5.92164025278175E-005</v>
      </c>
      <c r="L126" s="2" t="n">
        <v>0.744532936686859</v>
      </c>
    </row>
    <row r="127" customFormat="false" ht="15" hidden="false" customHeight="false" outlineLevel="0" collapsed="false">
      <c r="A127" s="1" t="s">
        <v>90</v>
      </c>
      <c r="B127" s="1" t="s">
        <v>91</v>
      </c>
      <c r="C127" s="1" t="s">
        <v>92</v>
      </c>
      <c r="D127" s="1" t="s">
        <v>19</v>
      </c>
      <c r="E127" s="1" t="s">
        <v>20</v>
      </c>
      <c r="F127" s="2" t="n">
        <v>41</v>
      </c>
      <c r="G127" s="1" t="s">
        <v>25</v>
      </c>
      <c r="H127" s="2" t="n">
        <v>0.171</v>
      </c>
      <c r="I127" s="2" t="n">
        <v>0.262728022516222</v>
      </c>
      <c r="J127" s="2" t="n">
        <v>0.336435963366211</v>
      </c>
      <c r="K127" s="2" t="n">
        <f aca="false">J127-I127</f>
        <v>0.0737079408499887</v>
      </c>
      <c r="L127" s="2" t="n">
        <v>0.744532936686859</v>
      </c>
    </row>
    <row r="128" customFormat="false" ht="15" hidden="false" customHeight="false" outlineLevel="0" collapsed="false">
      <c r="A128" s="1" t="s">
        <v>90</v>
      </c>
      <c r="B128" s="1" t="s">
        <v>91</v>
      </c>
      <c r="C128" s="1" t="s">
        <v>92</v>
      </c>
      <c r="D128" s="1" t="s">
        <v>19</v>
      </c>
      <c r="E128" s="1" t="s">
        <v>20</v>
      </c>
      <c r="F128" s="2" t="n">
        <v>41</v>
      </c>
      <c r="G128" s="1" t="s">
        <v>26</v>
      </c>
      <c r="H128" s="2" t="n">
        <v>0.1</v>
      </c>
      <c r="I128" s="2" t="n">
        <v>0.195836712258599</v>
      </c>
      <c r="J128" s="2" t="n">
        <v>0.269361985880097</v>
      </c>
      <c r="K128" s="2" t="n">
        <f aca="false">J128-I128</f>
        <v>0.0735252736214977</v>
      </c>
      <c r="L128" s="2" t="n">
        <v>0.744532936686859</v>
      </c>
    </row>
    <row r="129" customFormat="false" ht="15" hidden="false" customHeight="false" outlineLevel="0" collapsed="false">
      <c r="A129" s="1" t="s">
        <v>93</v>
      </c>
      <c r="B129" s="1" t="s">
        <v>94</v>
      </c>
      <c r="C129" s="1" t="s">
        <v>95</v>
      </c>
      <c r="D129" s="1" t="s">
        <v>19</v>
      </c>
      <c r="E129" s="1" t="s">
        <v>20</v>
      </c>
      <c r="F129" s="2" t="n">
        <v>43</v>
      </c>
      <c r="G129" s="1" t="s">
        <v>21</v>
      </c>
      <c r="H129" s="2" t="n">
        <v>0.2067</v>
      </c>
      <c r="I129" s="2" t="n">
        <v>0.366398344693245</v>
      </c>
      <c r="J129" s="2" t="n">
        <v>0.415095071840906</v>
      </c>
      <c r="K129" s="2" t="n">
        <f aca="false">J129-I129</f>
        <v>0.0486967271476616</v>
      </c>
      <c r="L129" s="2" t="n">
        <v>0.793440478998772</v>
      </c>
    </row>
    <row r="130" customFormat="false" ht="15" hidden="false" customHeight="false" outlineLevel="0" collapsed="false">
      <c r="A130" s="1" t="s">
        <v>93</v>
      </c>
      <c r="B130" s="1" t="s">
        <v>94</v>
      </c>
      <c r="C130" s="1" t="s">
        <v>95</v>
      </c>
      <c r="D130" s="1" t="s">
        <v>19</v>
      </c>
      <c r="E130" s="1" t="s">
        <v>20</v>
      </c>
      <c r="F130" s="2" t="n">
        <v>43</v>
      </c>
      <c r="G130" s="1" t="s">
        <v>22</v>
      </c>
      <c r="H130" s="2" t="n">
        <v>0.1831</v>
      </c>
      <c r="I130" s="2" t="n">
        <v>0.32458103579834</v>
      </c>
      <c r="J130" s="2" t="n">
        <v>0.390612405968724</v>
      </c>
      <c r="K130" s="2" t="n">
        <f aca="false">J130-I130</f>
        <v>0.0660313701703834</v>
      </c>
      <c r="L130" s="2" t="n">
        <v>0.793440478998772</v>
      </c>
    </row>
    <row r="131" customFormat="false" ht="15" hidden="false" customHeight="false" outlineLevel="0" collapsed="false">
      <c r="A131" s="1" t="s">
        <v>93</v>
      </c>
      <c r="B131" s="1" t="s">
        <v>94</v>
      </c>
      <c r="C131" s="1" t="s">
        <v>95</v>
      </c>
      <c r="D131" s="1" t="s">
        <v>19</v>
      </c>
      <c r="E131" s="1" t="s">
        <v>20</v>
      </c>
      <c r="F131" s="2" t="n">
        <v>43</v>
      </c>
      <c r="G131" s="1" t="s">
        <v>30</v>
      </c>
      <c r="H131" s="2" t="n">
        <v>0.1727</v>
      </c>
      <c r="I131" s="2" t="n">
        <v>0.306053970908913</v>
      </c>
      <c r="J131" s="2" t="n">
        <v>0.380521445817843</v>
      </c>
      <c r="K131" s="2" t="n">
        <f aca="false">J131-I131</f>
        <v>0.07446747490893</v>
      </c>
      <c r="L131" s="2" t="n">
        <v>0.793440478998772</v>
      </c>
    </row>
    <row r="132" customFormat="false" ht="15" hidden="false" customHeight="false" outlineLevel="0" collapsed="false">
      <c r="A132" s="1" t="s">
        <v>93</v>
      </c>
      <c r="B132" s="1" t="s">
        <v>94</v>
      </c>
      <c r="C132" s="1" t="s">
        <v>95</v>
      </c>
      <c r="D132" s="1" t="s">
        <v>19</v>
      </c>
      <c r="E132" s="1" t="s">
        <v>20</v>
      </c>
      <c r="F132" s="2" t="n">
        <v>43</v>
      </c>
      <c r="G132" s="1" t="s">
        <v>24</v>
      </c>
      <c r="H132" s="2" t="n">
        <v>0.1703</v>
      </c>
      <c r="I132" s="2" t="n">
        <v>0.301847566253633</v>
      </c>
      <c r="J132" s="2" t="n">
        <v>0.333960827531881</v>
      </c>
      <c r="K132" s="2" t="n">
        <f aca="false">J132-I132</f>
        <v>0.0321132612782476</v>
      </c>
      <c r="L132" s="2" t="n">
        <v>0.793440478998772</v>
      </c>
    </row>
    <row r="133" customFormat="false" ht="15" hidden="false" customHeight="false" outlineLevel="0" collapsed="false">
      <c r="A133" s="1" t="s">
        <v>93</v>
      </c>
      <c r="B133" s="1" t="s">
        <v>94</v>
      </c>
      <c r="C133" s="1" t="s">
        <v>95</v>
      </c>
      <c r="D133" s="1" t="s">
        <v>19</v>
      </c>
      <c r="E133" s="1" t="s">
        <v>20</v>
      </c>
      <c r="F133" s="2" t="n">
        <v>43</v>
      </c>
      <c r="G133" s="1" t="s">
        <v>25</v>
      </c>
      <c r="H133" s="2" t="n">
        <v>0.1671</v>
      </c>
      <c r="I133" s="2" t="n">
        <v>0.296166657388188</v>
      </c>
      <c r="J133" s="2" t="n">
        <v>0.340167776012913</v>
      </c>
      <c r="K133" s="2" t="n">
        <f aca="false">J133-I133</f>
        <v>0.0440011186247249</v>
      </c>
      <c r="L133" s="2" t="n">
        <v>0.793440478998772</v>
      </c>
    </row>
    <row r="134" customFormat="false" ht="15" hidden="false" customHeight="false" outlineLevel="0" collapsed="false">
      <c r="A134" s="1" t="s">
        <v>93</v>
      </c>
      <c r="B134" s="1" t="s">
        <v>94</v>
      </c>
      <c r="C134" s="1" t="s">
        <v>95</v>
      </c>
      <c r="D134" s="1" t="s">
        <v>19</v>
      </c>
      <c r="E134" s="1" t="s">
        <v>20</v>
      </c>
      <c r="F134" s="2" t="n">
        <v>43</v>
      </c>
      <c r="G134" s="1" t="s">
        <v>26</v>
      </c>
      <c r="H134" s="2" t="n">
        <v>0.1</v>
      </c>
      <c r="I134" s="2" t="n">
        <v>0.25320442124817</v>
      </c>
      <c r="J134" s="2" t="n">
        <v>0.342790629538417</v>
      </c>
      <c r="K134" s="2" t="n">
        <f aca="false">J134-I134</f>
        <v>0.0895862082902466</v>
      </c>
      <c r="L134" s="2" t="n">
        <v>0.793440478998772</v>
      </c>
    </row>
    <row r="135" customFormat="false" ht="15" hidden="false" customHeight="false" outlineLevel="0" collapsed="false">
      <c r="A135" s="1" t="s">
        <v>96</v>
      </c>
      <c r="B135" s="1" t="s">
        <v>97</v>
      </c>
      <c r="C135" s="1" t="s">
        <v>98</v>
      </c>
      <c r="D135" s="1" t="s">
        <v>19</v>
      </c>
      <c r="E135" s="1" t="s">
        <v>20</v>
      </c>
      <c r="F135" s="2" t="n">
        <v>45</v>
      </c>
      <c r="G135" s="1" t="s">
        <v>21</v>
      </c>
      <c r="H135" s="2" t="n">
        <v>0.1958</v>
      </c>
      <c r="I135" s="2" t="n">
        <v>0.333788069025417</v>
      </c>
      <c r="J135" s="2" t="n">
        <v>0.351486327092331</v>
      </c>
      <c r="K135" s="2" t="n">
        <f aca="false">J135-I135</f>
        <v>0.0176982580669134</v>
      </c>
      <c r="L135" s="2" t="n">
        <v>0.707901607946691</v>
      </c>
    </row>
    <row r="136" customFormat="false" ht="15" hidden="false" customHeight="false" outlineLevel="0" collapsed="false">
      <c r="A136" s="1" t="s">
        <v>96</v>
      </c>
      <c r="B136" s="1" t="s">
        <v>97</v>
      </c>
      <c r="C136" s="1" t="s">
        <v>98</v>
      </c>
      <c r="D136" s="1" t="s">
        <v>19</v>
      </c>
      <c r="E136" s="1" t="s">
        <v>20</v>
      </c>
      <c r="F136" s="2" t="n">
        <v>45</v>
      </c>
      <c r="G136" s="1" t="s">
        <v>22</v>
      </c>
      <c r="H136" s="2" t="n">
        <v>0.1876</v>
      </c>
      <c r="I136" s="2" t="n">
        <v>0.319812877300048</v>
      </c>
      <c r="J136" s="2" t="n">
        <v>0.289880088249695</v>
      </c>
      <c r="K136" s="2" t="n">
        <f aca="false">J136-I136</f>
        <v>-0.0299327890503539</v>
      </c>
      <c r="L136" s="2" t="n">
        <v>0.707901607946691</v>
      </c>
    </row>
    <row r="137" customFormat="false" ht="15" hidden="false" customHeight="false" outlineLevel="0" collapsed="false">
      <c r="A137" s="1" t="s">
        <v>96</v>
      </c>
      <c r="B137" s="1" t="s">
        <v>97</v>
      </c>
      <c r="C137" s="1" t="s">
        <v>98</v>
      </c>
      <c r="D137" s="1" t="s">
        <v>19</v>
      </c>
      <c r="E137" s="1" t="s">
        <v>20</v>
      </c>
      <c r="F137" s="2" t="n">
        <v>45</v>
      </c>
      <c r="G137" s="1" t="s">
        <v>41</v>
      </c>
      <c r="H137" s="2" t="n">
        <v>0.1795</v>
      </c>
      <c r="I137" s="2" t="n">
        <v>0.306039984255584</v>
      </c>
      <c r="J137" s="2" t="n">
        <v>0.268028708565807</v>
      </c>
      <c r="K137" s="2" t="n">
        <f aca="false">J137-I137</f>
        <v>-0.0380112756897772</v>
      </c>
      <c r="L137" s="2" t="n">
        <v>0.707901607946691</v>
      </c>
    </row>
    <row r="138" customFormat="false" ht="15" hidden="false" customHeight="false" outlineLevel="0" collapsed="false">
      <c r="A138" s="1" t="s">
        <v>96</v>
      </c>
      <c r="B138" s="1" t="s">
        <v>97</v>
      </c>
      <c r="C138" s="1" t="s">
        <v>98</v>
      </c>
      <c r="D138" s="1" t="s">
        <v>19</v>
      </c>
      <c r="E138" s="1" t="s">
        <v>20</v>
      </c>
      <c r="F138" s="2" t="n">
        <v>45</v>
      </c>
      <c r="G138" s="1" t="s">
        <v>30</v>
      </c>
      <c r="H138" s="2" t="n">
        <v>0.1733</v>
      </c>
      <c r="I138" s="2" t="n">
        <v>0.29552494797905</v>
      </c>
      <c r="J138" s="2" t="n">
        <v>0.281279800462787</v>
      </c>
      <c r="K138" s="2" t="n">
        <f aca="false">J138-I138</f>
        <v>-0.0142451475162636</v>
      </c>
      <c r="L138" s="2" t="n">
        <v>0.707901607946691</v>
      </c>
    </row>
    <row r="139" customFormat="false" ht="15" hidden="false" customHeight="false" outlineLevel="0" collapsed="false">
      <c r="A139" s="1" t="s">
        <v>96</v>
      </c>
      <c r="B139" s="1" t="s">
        <v>97</v>
      </c>
      <c r="C139" s="1" t="s">
        <v>98</v>
      </c>
      <c r="D139" s="1" t="s">
        <v>19</v>
      </c>
      <c r="E139" s="1" t="s">
        <v>20</v>
      </c>
      <c r="F139" s="2" t="n">
        <v>45</v>
      </c>
      <c r="G139" s="1" t="s">
        <v>23</v>
      </c>
      <c r="H139" s="2" t="n">
        <v>0.1639</v>
      </c>
      <c r="I139" s="2" t="n">
        <v>0.279481392017963</v>
      </c>
      <c r="J139" s="2" t="n">
        <v>0.286820371885149</v>
      </c>
      <c r="K139" s="2" t="n">
        <f aca="false">J139-I139</f>
        <v>0.00733897986718651</v>
      </c>
      <c r="L139" s="2" t="n">
        <v>0.707901607946691</v>
      </c>
    </row>
    <row r="140" customFormat="false" ht="15" hidden="false" customHeight="false" outlineLevel="0" collapsed="false">
      <c r="A140" s="1" t="s">
        <v>96</v>
      </c>
      <c r="B140" s="1" t="s">
        <v>97</v>
      </c>
      <c r="C140" s="1" t="s">
        <v>98</v>
      </c>
      <c r="D140" s="1" t="s">
        <v>19</v>
      </c>
      <c r="E140" s="1" t="s">
        <v>20</v>
      </c>
      <c r="F140" s="2" t="n">
        <v>45</v>
      </c>
      <c r="G140" s="1" t="s">
        <v>26</v>
      </c>
      <c r="H140" s="2" t="n">
        <v>0.1</v>
      </c>
      <c r="I140" s="2" t="n">
        <v>0.247963068822542</v>
      </c>
      <c r="J140" s="2" t="n">
        <v>0.261779453022432</v>
      </c>
      <c r="K140" s="2" t="n">
        <f aca="false">J140-I140</f>
        <v>0.0138163841998895</v>
      </c>
      <c r="L140" s="2" t="n">
        <v>0.707901607946691</v>
      </c>
    </row>
    <row r="141" customFormat="false" ht="15" hidden="false" customHeight="false" outlineLevel="0" collapsed="false">
      <c r="A141" s="1" t="s">
        <v>99</v>
      </c>
      <c r="B141" s="1" t="s">
        <v>100</v>
      </c>
      <c r="C141" s="1" t="s">
        <v>101</v>
      </c>
      <c r="D141" s="1" t="s">
        <v>19</v>
      </c>
      <c r="E141" s="1" t="s">
        <v>20</v>
      </c>
      <c r="F141" s="2" t="n">
        <v>47</v>
      </c>
      <c r="G141" s="1" t="s">
        <v>21</v>
      </c>
      <c r="H141" s="2" t="n">
        <v>0.2169</v>
      </c>
      <c r="I141" s="2" t="n">
        <v>0.312427212521728</v>
      </c>
      <c r="J141" s="2" t="n">
        <v>0.322856262762555</v>
      </c>
      <c r="K141" s="2" t="n">
        <f aca="false">J141-I141</f>
        <v>0.010429050240827</v>
      </c>
      <c r="L141" s="2" t="n">
        <v>0.737835538427487</v>
      </c>
    </row>
    <row r="142" customFormat="false" ht="15" hidden="false" customHeight="false" outlineLevel="0" collapsed="false">
      <c r="A142" s="1" t="s">
        <v>99</v>
      </c>
      <c r="B142" s="1" t="s">
        <v>100</v>
      </c>
      <c r="C142" s="1" t="s">
        <v>101</v>
      </c>
      <c r="D142" s="1" t="s">
        <v>19</v>
      </c>
      <c r="E142" s="1" t="s">
        <v>20</v>
      </c>
      <c r="F142" s="2" t="n">
        <v>47</v>
      </c>
      <c r="G142" s="1" t="s">
        <v>25</v>
      </c>
      <c r="H142" s="2" t="n">
        <v>0.181</v>
      </c>
      <c r="I142" s="2" t="n">
        <v>0.260765091617199</v>
      </c>
      <c r="J142" s="2" t="n">
        <v>0.293088201870851</v>
      </c>
      <c r="K142" s="2" t="n">
        <f aca="false">J142-I142</f>
        <v>0.0323231102536516</v>
      </c>
      <c r="L142" s="2" t="n">
        <v>0.737835538427487</v>
      </c>
    </row>
    <row r="143" customFormat="false" ht="15" hidden="false" customHeight="false" outlineLevel="0" collapsed="false">
      <c r="A143" s="1" t="s">
        <v>99</v>
      </c>
      <c r="B143" s="1" t="s">
        <v>100</v>
      </c>
      <c r="C143" s="1" t="s">
        <v>101</v>
      </c>
      <c r="D143" s="1" t="s">
        <v>19</v>
      </c>
      <c r="E143" s="1" t="s">
        <v>20</v>
      </c>
      <c r="F143" s="2" t="n">
        <v>47</v>
      </c>
      <c r="G143" s="1" t="s">
        <v>22</v>
      </c>
      <c r="H143" s="2" t="n">
        <v>0.1809</v>
      </c>
      <c r="I143" s="2" t="n">
        <v>0.260676090089969</v>
      </c>
      <c r="J143" s="2" t="n">
        <v>0.280087898113332</v>
      </c>
      <c r="K143" s="2" t="n">
        <f aca="false">J143-I143</f>
        <v>0.019411808023363</v>
      </c>
      <c r="L143" s="2" t="n">
        <v>0.737835538427487</v>
      </c>
    </row>
    <row r="144" customFormat="false" ht="15" hidden="false" customHeight="false" outlineLevel="0" collapsed="false">
      <c r="A144" s="1" t="s">
        <v>99</v>
      </c>
      <c r="B144" s="1" t="s">
        <v>100</v>
      </c>
      <c r="C144" s="1" t="s">
        <v>101</v>
      </c>
      <c r="D144" s="1" t="s">
        <v>19</v>
      </c>
      <c r="E144" s="1" t="s">
        <v>20</v>
      </c>
      <c r="F144" s="2" t="n">
        <v>47</v>
      </c>
      <c r="G144" s="1" t="s">
        <v>30</v>
      </c>
      <c r="H144" s="2" t="n">
        <v>0.1606</v>
      </c>
      <c r="I144" s="2" t="n">
        <v>0.231391401014853</v>
      </c>
      <c r="J144" s="2" t="n">
        <v>0.266640709188575</v>
      </c>
      <c r="K144" s="2" t="n">
        <f aca="false">J144-I144</f>
        <v>0.0352493081737227</v>
      </c>
      <c r="L144" s="2" t="n">
        <v>0.737835538427487</v>
      </c>
    </row>
    <row r="145" customFormat="false" ht="15" hidden="false" customHeight="false" outlineLevel="0" collapsed="false">
      <c r="A145" s="1" t="s">
        <v>99</v>
      </c>
      <c r="B145" s="1" t="s">
        <v>100</v>
      </c>
      <c r="C145" s="1" t="s">
        <v>101</v>
      </c>
      <c r="D145" s="1" t="s">
        <v>19</v>
      </c>
      <c r="E145" s="1" t="s">
        <v>20</v>
      </c>
      <c r="F145" s="2" t="n">
        <v>47</v>
      </c>
      <c r="G145" s="1" t="s">
        <v>23</v>
      </c>
      <c r="H145" s="2" t="n">
        <v>0.1605</v>
      </c>
      <c r="I145" s="2" t="n">
        <v>0.231278493558328</v>
      </c>
      <c r="J145" s="2" t="n">
        <v>0.310505148665564</v>
      </c>
      <c r="K145" s="2" t="n">
        <f aca="false">J145-I145</f>
        <v>0.0792266551072359</v>
      </c>
      <c r="L145" s="2" t="n">
        <v>0.737835538427487</v>
      </c>
    </row>
    <row r="146" customFormat="false" ht="15" hidden="false" customHeight="false" outlineLevel="0" collapsed="false">
      <c r="A146" s="1" t="s">
        <v>99</v>
      </c>
      <c r="B146" s="1" t="s">
        <v>100</v>
      </c>
      <c r="C146" s="1" t="s">
        <v>101</v>
      </c>
      <c r="D146" s="1" t="s">
        <v>19</v>
      </c>
      <c r="E146" s="1" t="s">
        <v>20</v>
      </c>
      <c r="F146" s="2" t="n">
        <v>47</v>
      </c>
      <c r="G146" s="1" t="s">
        <v>26</v>
      </c>
      <c r="H146" s="2" t="n">
        <v>0.1</v>
      </c>
      <c r="I146" s="2" t="n">
        <v>0.217034776084057</v>
      </c>
      <c r="J146" s="2" t="n">
        <v>0.255425196226735</v>
      </c>
      <c r="K146" s="2" t="n">
        <f aca="false">J146-I146</f>
        <v>0.0383904201426772</v>
      </c>
      <c r="L146" s="2" t="n">
        <v>0.737835538427487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13" activeCellId="1" sqref="E5:L5 B13"/>
    </sheetView>
  </sheetViews>
  <sheetFormatPr defaultColWidth="10.1640625" defaultRowHeight="12.8" customHeight="false" zeroHeight="false" outlineLevelRow="0" outlineLevelCol="0"/>
  <cols>
    <col collapsed="false" customWidth="true" hidden="false" outlineLevel="0" max="2" min="2" style="1" width="16.27"/>
  </cols>
  <sheetData>
    <row r="1" customFormat="false" ht="12.8" hidden="false" customHeight="false" outlineLevel="0" collapsed="false">
      <c r="A1" s="5" t="s">
        <v>102</v>
      </c>
      <c r="B1" s="5"/>
    </row>
    <row r="2" customFormat="false" ht="12.8" hidden="false" customHeight="false" outlineLevel="0" collapsed="false">
      <c r="A2" s="5"/>
      <c r="B2" s="5"/>
    </row>
    <row r="3" customFormat="false" ht="12.8" hidden="false" customHeight="false" outlineLevel="0" collapsed="false">
      <c r="A3" s="5" t="s">
        <v>103</v>
      </c>
      <c r="B3" s="6" t="n">
        <f aca="false">scen3_hybrid!P3</f>
        <v>144</v>
      </c>
    </row>
    <row r="4" customFormat="false" ht="12.8" hidden="false" customHeight="false" outlineLevel="0" collapsed="false">
      <c r="A4" s="5" t="s">
        <v>104</v>
      </c>
      <c r="B4" s="5" t="n">
        <f aca="false">B10*SQRT((B3-2)/(1-B10^2))</f>
        <v>-2.00754181705884</v>
      </c>
    </row>
    <row r="5" customFormat="false" ht="12.8" hidden="false" customHeight="false" outlineLevel="0" collapsed="false">
      <c r="A5" s="5" t="s">
        <v>105</v>
      </c>
      <c r="B5" s="5" t="n">
        <f aca="false">_xlfn.T.DIST.2T(ABS(B4),B3-2)</f>
        <v>0.0465894069614302</v>
      </c>
    </row>
    <row r="6" customFormat="false" ht="12.8" hidden="false" customHeight="false" outlineLevel="0" collapsed="false">
      <c r="A6" s="5"/>
      <c r="B6" s="7"/>
    </row>
    <row r="7" customFormat="false" ht="12.8" hidden="false" customHeight="false" outlineLevel="0" collapsed="false">
      <c r="A7" s="5"/>
      <c r="B7" s="7"/>
    </row>
    <row r="8" customFormat="false" ht="12.8" hidden="false" customHeight="false" outlineLevel="0" collapsed="false">
      <c r="A8" s="5"/>
      <c r="B8" s="7"/>
    </row>
    <row r="9" customFormat="false" ht="19.4" hidden="false" customHeight="false" outlineLevel="0" collapsed="false">
      <c r="A9" s="3" t="s">
        <v>13</v>
      </c>
      <c r="B9" s="3" t="s">
        <v>14</v>
      </c>
    </row>
    <row r="10" customFormat="false" ht="12.8" hidden="false" customHeight="false" outlineLevel="0" collapsed="false">
      <c r="A10" s="8" t="n">
        <f aca="false">B3</f>
        <v>144</v>
      </c>
      <c r="B10" s="8" t="n">
        <f aca="false">scen3_hybrid!Q3</f>
        <v>-0.166128148346189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4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3" activeCellId="1" sqref="E5:L5 B3"/>
    </sheetView>
  </sheetViews>
  <sheetFormatPr defaultColWidth="10.1640625" defaultRowHeight="12.8" customHeight="false" zeroHeight="false" outlineLevelRow="0" outlineLevelCol="0"/>
  <cols>
    <col collapsed="false" customWidth="true" hidden="false" outlineLevel="0" max="2" min="2" style="1" width="13.05"/>
  </cols>
  <sheetData>
    <row r="1" customFormat="false" ht="13.8" hidden="false" customHeight="false" outlineLevel="0" collapsed="false">
      <c r="B1" s="9" t="s">
        <v>106</v>
      </c>
    </row>
    <row r="2" customFormat="false" ht="13.8" hidden="false" customHeight="false" outlineLevel="0" collapsed="false">
      <c r="A2" s="10" t="s">
        <v>107</v>
      </c>
    </row>
    <row r="3" customFormat="false" ht="12.8" hidden="false" customHeight="false" outlineLevel="0" collapsed="false">
      <c r="A3" s="7" t="n">
        <v>1</v>
      </c>
      <c r="B3" s="9" t="n">
        <v>0.815772031466282</v>
      </c>
    </row>
    <row r="4" customFormat="false" ht="12.8" hidden="false" customHeight="false" outlineLevel="0" collapsed="false">
      <c r="A4" s="7" t="n">
        <v>2</v>
      </c>
      <c r="B4" s="9" t="n">
        <v>0.690178981295079</v>
      </c>
    </row>
    <row r="5" customFormat="false" ht="12.8" hidden="false" customHeight="false" outlineLevel="0" collapsed="false">
      <c r="A5" s="7" t="n">
        <v>3</v>
      </c>
      <c r="B5" s="9" t="n">
        <v>0.678236595135105</v>
      </c>
    </row>
    <row r="6" customFormat="false" ht="12.8" hidden="false" customHeight="false" outlineLevel="0" collapsed="false">
      <c r="A6" s="7" t="n">
        <v>4</v>
      </c>
      <c r="B6" s="9" t="n">
        <v>0.599753209767944</v>
      </c>
    </row>
    <row r="7" customFormat="false" ht="12.8" hidden="false" customHeight="false" outlineLevel="0" collapsed="false">
      <c r="A7" s="7" t="n">
        <v>5</v>
      </c>
      <c r="B7" s="9" t="n">
        <v>0.571410730397255</v>
      </c>
    </row>
    <row r="8" customFormat="false" ht="12.8" hidden="false" customHeight="false" outlineLevel="0" collapsed="false">
      <c r="A8" s="7" t="n">
        <v>6</v>
      </c>
      <c r="B8" s="9" t="n">
        <v>0.665331994991001</v>
      </c>
    </row>
    <row r="9" customFormat="false" ht="12.8" hidden="false" customHeight="false" outlineLevel="0" collapsed="false">
      <c r="A9" s="7" t="n">
        <v>7</v>
      </c>
      <c r="B9" s="9" t="n">
        <v>0.834581956795994</v>
      </c>
    </row>
    <row r="10" customFormat="false" ht="12.8" hidden="false" customHeight="false" outlineLevel="0" collapsed="false">
      <c r="A10" s="7" t="n">
        <v>8</v>
      </c>
      <c r="B10" s="9" t="n">
        <v>0.727191552934014</v>
      </c>
    </row>
    <row r="11" customFormat="false" ht="12.8" hidden="false" customHeight="false" outlineLevel="0" collapsed="false">
      <c r="A11" s="7" t="n">
        <v>9</v>
      </c>
      <c r="B11" s="9" t="n">
        <v>0.69768144989318</v>
      </c>
    </row>
    <row r="12" customFormat="false" ht="12.8" hidden="false" customHeight="false" outlineLevel="0" collapsed="false">
      <c r="A12" s="7" t="n">
        <v>10</v>
      </c>
      <c r="B12" s="9" t="n">
        <v>0.619580092617654</v>
      </c>
    </row>
    <row r="13" customFormat="false" ht="12.8" hidden="false" customHeight="false" outlineLevel="0" collapsed="false">
      <c r="A13" s="7" t="n">
        <v>11</v>
      </c>
      <c r="B13" s="9" t="n">
        <v>0.774921176890618</v>
      </c>
    </row>
    <row r="14" customFormat="false" ht="12.8" hidden="false" customHeight="false" outlineLevel="0" collapsed="false">
      <c r="A14" s="7" t="n">
        <v>12</v>
      </c>
      <c r="B14" s="9" t="n">
        <v>0.753553709109679</v>
      </c>
    </row>
    <row r="15" customFormat="false" ht="12.8" hidden="false" customHeight="false" outlineLevel="0" collapsed="false">
      <c r="A15" s="7" t="n">
        <v>13</v>
      </c>
      <c r="B15" s="9" t="n">
        <v>0.672563929439104</v>
      </c>
    </row>
    <row r="16" customFormat="false" ht="12.8" hidden="false" customHeight="false" outlineLevel="0" collapsed="false">
      <c r="A16" s="7" t="n">
        <v>14</v>
      </c>
      <c r="B16" s="9" t="n">
        <v>0.793428445401866</v>
      </c>
    </row>
    <row r="17" customFormat="false" ht="12.8" hidden="false" customHeight="false" outlineLevel="0" collapsed="false">
      <c r="A17" s="7" t="n">
        <v>15</v>
      </c>
      <c r="B17" s="9" t="n">
        <v>0.822215644660448</v>
      </c>
    </row>
    <row r="18" customFormat="false" ht="12.8" hidden="false" customHeight="false" outlineLevel="0" collapsed="false">
      <c r="A18" s="7" t="n">
        <v>16</v>
      </c>
      <c r="B18" s="9" t="n">
        <v>0.635332717811399</v>
      </c>
    </row>
    <row r="19" customFormat="false" ht="12.8" hidden="false" customHeight="false" outlineLevel="0" collapsed="false">
      <c r="A19" s="7" t="n">
        <v>17</v>
      </c>
      <c r="B19" s="9" t="n">
        <v>0.793594653760174</v>
      </c>
    </row>
    <row r="20" customFormat="false" ht="12.8" hidden="false" customHeight="false" outlineLevel="0" collapsed="false">
      <c r="A20" s="7" t="n">
        <v>18</v>
      </c>
      <c r="B20" s="9" t="n">
        <v>0.704871448301166</v>
      </c>
    </row>
    <row r="21" customFormat="false" ht="12.8" hidden="false" customHeight="false" outlineLevel="0" collapsed="false">
      <c r="A21" s="7" t="n">
        <v>19</v>
      </c>
      <c r="B21" s="9" t="n">
        <v>0.807380134018013</v>
      </c>
    </row>
    <row r="22" customFormat="false" ht="12.8" hidden="false" customHeight="false" outlineLevel="0" collapsed="false">
      <c r="A22" s="7" t="n">
        <v>20</v>
      </c>
      <c r="B22" s="9" t="n">
        <v>0.685839894231455</v>
      </c>
    </row>
    <row r="23" customFormat="false" ht="12.8" hidden="false" customHeight="false" outlineLevel="0" collapsed="false">
      <c r="A23" s="7" t="n">
        <v>21</v>
      </c>
      <c r="B23" s="9" t="n">
        <v>0.744532936686859</v>
      </c>
    </row>
    <row r="24" customFormat="false" ht="12.8" hidden="false" customHeight="false" outlineLevel="0" collapsed="false">
      <c r="A24" s="7" t="n">
        <v>22</v>
      </c>
      <c r="B24" s="9" t="n">
        <v>0.793440478998772</v>
      </c>
    </row>
    <row r="25" customFormat="false" ht="12.8" hidden="false" customHeight="false" outlineLevel="0" collapsed="false">
      <c r="A25" s="7" t="n">
        <v>23</v>
      </c>
      <c r="B25" s="9" t="n">
        <v>0.707901607946691</v>
      </c>
    </row>
    <row r="26" customFormat="false" ht="12.8" hidden="false" customHeight="false" outlineLevel="0" collapsed="false">
      <c r="A26" s="7" t="n">
        <v>24</v>
      </c>
      <c r="B26" s="9" t="n">
        <v>0.737835538427487</v>
      </c>
    </row>
    <row r="27" customFormat="false" ht="13.8" hidden="false" customHeight="false" outlineLevel="0" collapsed="false">
      <c r="A27" s="7"/>
    </row>
    <row r="31" customFormat="false" ht="13.8" hidden="false" customHeight="false" outlineLevel="0" collapsed="false">
      <c r="B31" s="9"/>
    </row>
    <row r="32" customFormat="false" ht="13.8" hidden="false" customHeight="false" outlineLevel="0" collapsed="false">
      <c r="B32" s="9"/>
    </row>
    <row r="33" customFormat="false" ht="13.8" hidden="false" customHeight="false" outlineLevel="0" collapsed="false">
      <c r="B33" s="9"/>
    </row>
    <row r="34" customFormat="false" ht="13.8" hidden="false" customHeight="false" outlineLevel="0" collapsed="false">
      <c r="B34" s="9"/>
    </row>
    <row r="35" customFormat="false" ht="13.8" hidden="false" customHeight="false" outlineLevel="0" collapsed="false">
      <c r="B35" s="9"/>
    </row>
    <row r="36" customFormat="false" ht="13.8" hidden="false" customHeight="false" outlineLevel="0" collapsed="false">
      <c r="B36" s="9"/>
    </row>
    <row r="37" customFormat="false" ht="13.8" hidden="false" customHeight="false" outlineLevel="0" collapsed="false">
      <c r="B37" s="9"/>
    </row>
    <row r="38" customFormat="false" ht="13.8" hidden="false" customHeight="false" outlineLevel="0" collapsed="false">
      <c r="B38" s="9"/>
    </row>
    <row r="39" customFormat="false" ht="13.8" hidden="false" customHeight="false" outlineLevel="0" collapsed="false">
      <c r="B39" s="9"/>
    </row>
    <row r="40" customFormat="false" ht="13.8" hidden="false" customHeight="false" outlineLevel="0" collapsed="false">
      <c r="B40" s="9"/>
    </row>
    <row r="41" customFormat="false" ht="13.8" hidden="false" customHeight="false" outlineLevel="0" collapsed="false">
      <c r="B41" s="9"/>
    </row>
    <row r="42" customFormat="false" ht="13.8" hidden="false" customHeight="false" outlineLevel="0" collapsed="false">
      <c r="B42" s="9"/>
    </row>
    <row r="43" customFormat="false" ht="13.8" hidden="false" customHeight="false" outlineLevel="0" collapsed="false">
      <c r="B43" s="9"/>
    </row>
    <row r="44" customFormat="false" ht="13.8" hidden="false" customHeight="false" outlineLevel="0" collapsed="false">
      <c r="B44" s="9"/>
    </row>
    <row r="45" customFormat="false" ht="13.8" hidden="false" customHeight="false" outlineLevel="0" collapsed="false">
      <c r="B45" s="9"/>
    </row>
    <row r="46" customFormat="false" ht="13.8" hidden="false" customHeight="false" outlineLevel="0" collapsed="false">
      <c r="B46" s="9"/>
    </row>
    <row r="47" customFormat="false" ht="13.8" hidden="false" customHeight="false" outlineLevel="0" collapsed="false">
      <c r="B47" s="9"/>
    </row>
    <row r="48" customFormat="false" ht="13.8" hidden="false" customHeight="false" outlineLevel="0" collapsed="false">
      <c r="B48" s="9"/>
    </row>
    <row r="49" customFormat="false" ht="13.8" hidden="false" customHeight="false" outlineLevel="0" collapsed="false">
      <c r="B49" s="9"/>
    </row>
    <row r="50" customFormat="false" ht="13.8" hidden="false" customHeight="false" outlineLevel="0" collapsed="false">
      <c r="B50" s="9"/>
    </row>
    <row r="51" customFormat="false" ht="13.8" hidden="false" customHeight="false" outlineLevel="0" collapsed="false">
      <c r="B51" s="9"/>
    </row>
    <row r="52" customFormat="false" ht="13.8" hidden="false" customHeight="false" outlineLevel="0" collapsed="false">
      <c r="B52" s="9"/>
    </row>
    <row r="53" customFormat="false" ht="13.8" hidden="false" customHeight="false" outlineLevel="0" collapsed="false">
      <c r="B53" s="9"/>
    </row>
    <row r="54" customFormat="false" ht="13.8" hidden="false" customHeight="false" outlineLevel="0" collapsed="false">
      <c r="B54" s="9"/>
    </row>
    <row r="55" customFormat="false" ht="13.8" hidden="false" customHeight="false" outlineLevel="0" collapsed="false">
      <c r="B55" s="9"/>
    </row>
    <row r="56" customFormat="false" ht="13.8" hidden="false" customHeight="false" outlineLevel="0" collapsed="false">
      <c r="B56" s="9"/>
    </row>
    <row r="57" customFormat="false" ht="13.8" hidden="false" customHeight="false" outlineLevel="0" collapsed="false">
      <c r="B57" s="9"/>
    </row>
    <row r="58" customFormat="false" ht="13.8" hidden="false" customHeight="false" outlineLevel="0" collapsed="false">
      <c r="B58" s="9"/>
    </row>
    <row r="59" customFormat="false" ht="13.8" hidden="false" customHeight="false" outlineLevel="0" collapsed="false">
      <c r="B59" s="9"/>
    </row>
    <row r="60" customFormat="false" ht="13.8" hidden="false" customHeight="false" outlineLevel="0" collapsed="false">
      <c r="B60" s="9"/>
    </row>
    <row r="61" customFormat="false" ht="13.8" hidden="false" customHeight="false" outlineLevel="0" collapsed="false">
      <c r="B61" s="9"/>
    </row>
    <row r="62" customFormat="false" ht="13.8" hidden="false" customHeight="false" outlineLevel="0" collapsed="false">
      <c r="B62" s="9"/>
    </row>
    <row r="63" customFormat="false" ht="13.8" hidden="false" customHeight="false" outlineLevel="0" collapsed="false">
      <c r="B63" s="9"/>
    </row>
    <row r="64" customFormat="false" ht="13.8" hidden="false" customHeight="false" outlineLevel="0" collapsed="false">
      <c r="B64" s="9"/>
    </row>
    <row r="65" customFormat="false" ht="13.8" hidden="false" customHeight="false" outlineLevel="0" collapsed="false">
      <c r="B65" s="9"/>
    </row>
    <row r="66" customFormat="false" ht="13.8" hidden="false" customHeight="false" outlineLevel="0" collapsed="false">
      <c r="B66" s="9"/>
    </row>
    <row r="67" customFormat="false" ht="13.8" hidden="false" customHeight="false" outlineLevel="0" collapsed="false">
      <c r="B67" s="9"/>
    </row>
    <row r="68" customFormat="false" ht="13.8" hidden="false" customHeight="false" outlineLevel="0" collapsed="false">
      <c r="B68" s="9"/>
    </row>
    <row r="69" customFormat="false" ht="13.8" hidden="false" customHeight="false" outlineLevel="0" collapsed="false">
      <c r="B69" s="9"/>
    </row>
    <row r="70" customFormat="false" ht="13.8" hidden="false" customHeight="false" outlineLevel="0" collapsed="false">
      <c r="B70" s="9"/>
    </row>
    <row r="71" customFormat="false" ht="13.8" hidden="false" customHeight="false" outlineLevel="0" collapsed="false">
      <c r="B71" s="9"/>
    </row>
    <row r="72" customFormat="false" ht="13.8" hidden="false" customHeight="false" outlineLevel="0" collapsed="false">
      <c r="B72" s="9"/>
    </row>
    <row r="73" customFormat="false" ht="13.8" hidden="false" customHeight="false" outlineLevel="0" collapsed="false">
      <c r="B73" s="9"/>
    </row>
    <row r="74" customFormat="false" ht="13.8" hidden="false" customHeight="false" outlineLevel="0" collapsed="false">
      <c r="B74" s="9"/>
    </row>
    <row r="75" customFormat="false" ht="13.8" hidden="false" customHeight="false" outlineLevel="0" collapsed="false">
      <c r="B75" s="9"/>
    </row>
    <row r="76" customFormat="false" ht="13.8" hidden="false" customHeight="false" outlineLevel="0" collapsed="false">
      <c r="B76" s="9"/>
    </row>
    <row r="77" customFormat="false" ht="13.8" hidden="false" customHeight="false" outlineLevel="0" collapsed="false">
      <c r="B77" s="9"/>
    </row>
    <row r="78" customFormat="false" ht="13.8" hidden="false" customHeight="false" outlineLevel="0" collapsed="false">
      <c r="B78" s="9"/>
    </row>
    <row r="79" customFormat="false" ht="13.8" hidden="false" customHeight="false" outlineLevel="0" collapsed="false">
      <c r="B79" s="9"/>
    </row>
    <row r="80" customFormat="false" ht="13.8" hidden="false" customHeight="false" outlineLevel="0" collapsed="false">
      <c r="B80" s="9"/>
    </row>
    <row r="81" customFormat="false" ht="13.8" hidden="false" customHeight="false" outlineLevel="0" collapsed="false">
      <c r="B81" s="9"/>
    </row>
    <row r="82" customFormat="false" ht="13.8" hidden="false" customHeight="false" outlineLevel="0" collapsed="false">
      <c r="B82" s="9"/>
    </row>
    <row r="83" customFormat="false" ht="13.8" hidden="false" customHeight="false" outlineLevel="0" collapsed="false">
      <c r="B83" s="9"/>
    </row>
    <row r="84" customFormat="false" ht="13.8" hidden="false" customHeight="false" outlineLevel="0" collapsed="false">
      <c r="B84" s="9"/>
    </row>
    <row r="85" customFormat="false" ht="13.8" hidden="false" customHeight="false" outlineLevel="0" collapsed="false">
      <c r="B85" s="9"/>
    </row>
    <row r="86" customFormat="false" ht="13.8" hidden="false" customHeight="false" outlineLevel="0" collapsed="false">
      <c r="B86" s="9"/>
    </row>
    <row r="87" customFormat="false" ht="13.8" hidden="false" customHeight="false" outlineLevel="0" collapsed="false">
      <c r="B87" s="9"/>
    </row>
    <row r="88" customFormat="false" ht="13.8" hidden="false" customHeight="false" outlineLevel="0" collapsed="false">
      <c r="B88" s="9"/>
    </row>
    <row r="89" customFormat="false" ht="13.8" hidden="false" customHeight="false" outlineLevel="0" collapsed="false">
      <c r="B89" s="9"/>
    </row>
    <row r="90" customFormat="false" ht="13.8" hidden="false" customHeight="false" outlineLevel="0" collapsed="false">
      <c r="B90" s="9"/>
    </row>
    <row r="91" customFormat="false" ht="13.8" hidden="false" customHeight="false" outlineLevel="0" collapsed="false">
      <c r="B91" s="9"/>
    </row>
    <row r="92" customFormat="false" ht="13.8" hidden="false" customHeight="false" outlineLevel="0" collapsed="false">
      <c r="B92" s="9"/>
    </row>
    <row r="93" customFormat="false" ht="13.8" hidden="false" customHeight="false" outlineLevel="0" collapsed="false">
      <c r="B93" s="9"/>
    </row>
    <row r="94" customFormat="false" ht="13.8" hidden="false" customHeight="false" outlineLevel="0" collapsed="false">
      <c r="B94" s="9"/>
    </row>
    <row r="95" customFormat="false" ht="13.8" hidden="false" customHeight="false" outlineLevel="0" collapsed="false">
      <c r="B95" s="9"/>
    </row>
    <row r="96" customFormat="false" ht="13.8" hidden="false" customHeight="false" outlineLevel="0" collapsed="false">
      <c r="B96" s="9"/>
    </row>
    <row r="97" customFormat="false" ht="13.8" hidden="false" customHeight="false" outlineLevel="0" collapsed="false">
      <c r="B97" s="9"/>
    </row>
    <row r="98" customFormat="false" ht="13.8" hidden="false" customHeight="false" outlineLevel="0" collapsed="false">
      <c r="B98" s="9"/>
    </row>
    <row r="99" customFormat="false" ht="13.8" hidden="false" customHeight="false" outlineLevel="0" collapsed="false">
      <c r="B99" s="9"/>
    </row>
    <row r="100" customFormat="false" ht="13.8" hidden="false" customHeight="false" outlineLevel="0" collapsed="false">
      <c r="B100" s="9"/>
    </row>
    <row r="101" customFormat="false" ht="13.8" hidden="false" customHeight="false" outlineLevel="0" collapsed="false">
      <c r="B101" s="9"/>
    </row>
    <row r="102" customFormat="false" ht="13.8" hidden="false" customHeight="false" outlineLevel="0" collapsed="false">
      <c r="B102" s="9"/>
    </row>
    <row r="103" customFormat="false" ht="13.8" hidden="false" customHeight="false" outlineLevel="0" collapsed="false">
      <c r="B103" s="9"/>
    </row>
    <row r="104" customFormat="false" ht="13.8" hidden="false" customHeight="false" outlineLevel="0" collapsed="false">
      <c r="B104" s="9"/>
    </row>
    <row r="105" customFormat="false" ht="13.8" hidden="false" customHeight="false" outlineLevel="0" collapsed="false">
      <c r="B105" s="9"/>
    </row>
    <row r="106" customFormat="false" ht="13.8" hidden="false" customHeight="false" outlineLevel="0" collapsed="false">
      <c r="B106" s="9"/>
    </row>
    <row r="107" customFormat="false" ht="13.8" hidden="false" customHeight="false" outlineLevel="0" collapsed="false">
      <c r="B107" s="9"/>
    </row>
    <row r="108" customFormat="false" ht="13.8" hidden="false" customHeight="false" outlineLevel="0" collapsed="false">
      <c r="B108" s="9"/>
    </row>
    <row r="109" customFormat="false" ht="13.8" hidden="false" customHeight="false" outlineLevel="0" collapsed="false">
      <c r="B109" s="9"/>
    </row>
    <row r="110" customFormat="false" ht="13.8" hidden="false" customHeight="false" outlineLevel="0" collapsed="false">
      <c r="B110" s="9"/>
    </row>
    <row r="111" customFormat="false" ht="13.8" hidden="false" customHeight="false" outlineLevel="0" collapsed="false">
      <c r="B111" s="9"/>
    </row>
    <row r="112" customFormat="false" ht="13.8" hidden="false" customHeight="false" outlineLevel="0" collapsed="false">
      <c r="B112" s="9"/>
    </row>
    <row r="113" customFormat="false" ht="13.8" hidden="false" customHeight="false" outlineLevel="0" collapsed="false">
      <c r="B113" s="9"/>
    </row>
    <row r="114" customFormat="false" ht="13.8" hidden="false" customHeight="false" outlineLevel="0" collapsed="false">
      <c r="B114" s="9"/>
    </row>
    <row r="115" customFormat="false" ht="13.8" hidden="false" customHeight="false" outlineLevel="0" collapsed="false">
      <c r="B115" s="9"/>
    </row>
    <row r="116" customFormat="false" ht="13.8" hidden="false" customHeight="false" outlineLevel="0" collapsed="false">
      <c r="B116" s="9"/>
    </row>
    <row r="117" customFormat="false" ht="13.8" hidden="false" customHeight="false" outlineLevel="0" collapsed="false">
      <c r="B117" s="9"/>
    </row>
    <row r="118" customFormat="false" ht="13.8" hidden="false" customHeight="false" outlineLevel="0" collapsed="false">
      <c r="B118" s="9"/>
    </row>
    <row r="119" customFormat="false" ht="13.8" hidden="false" customHeight="false" outlineLevel="0" collapsed="false">
      <c r="B119" s="9"/>
    </row>
    <row r="120" customFormat="false" ht="13.8" hidden="false" customHeight="false" outlineLevel="0" collapsed="false">
      <c r="B120" s="9"/>
    </row>
    <row r="121" customFormat="false" ht="13.8" hidden="false" customHeight="false" outlineLevel="0" collapsed="false">
      <c r="B121" s="9"/>
    </row>
    <row r="122" customFormat="false" ht="13.8" hidden="false" customHeight="false" outlineLevel="0" collapsed="false">
      <c r="B122" s="9"/>
    </row>
    <row r="123" customFormat="false" ht="13.8" hidden="false" customHeight="false" outlineLevel="0" collapsed="false">
      <c r="B123" s="9"/>
    </row>
    <row r="124" customFormat="false" ht="13.8" hidden="false" customHeight="false" outlineLevel="0" collapsed="false">
      <c r="B124" s="9"/>
    </row>
    <row r="125" customFormat="false" ht="13.8" hidden="false" customHeight="false" outlineLevel="0" collapsed="false">
      <c r="B125" s="9"/>
    </row>
    <row r="126" customFormat="false" ht="13.8" hidden="false" customHeight="false" outlineLevel="0" collapsed="false">
      <c r="B126" s="9"/>
    </row>
    <row r="127" customFormat="false" ht="13.8" hidden="false" customHeight="false" outlineLevel="0" collapsed="false">
      <c r="B127" s="9"/>
    </row>
    <row r="128" customFormat="false" ht="13.8" hidden="false" customHeight="false" outlineLevel="0" collapsed="false">
      <c r="B128" s="9"/>
    </row>
    <row r="129" customFormat="false" ht="13.8" hidden="false" customHeight="false" outlineLevel="0" collapsed="false">
      <c r="B129" s="9"/>
    </row>
    <row r="130" customFormat="false" ht="13.8" hidden="false" customHeight="false" outlineLevel="0" collapsed="false">
      <c r="B130" s="9"/>
    </row>
    <row r="131" customFormat="false" ht="13.8" hidden="false" customHeight="false" outlineLevel="0" collapsed="false">
      <c r="B131" s="9"/>
    </row>
    <row r="132" customFormat="false" ht="13.8" hidden="false" customHeight="false" outlineLevel="0" collapsed="false">
      <c r="B132" s="9"/>
    </row>
    <row r="133" customFormat="false" ht="13.8" hidden="false" customHeight="false" outlineLevel="0" collapsed="false">
      <c r="B133" s="9"/>
    </row>
    <row r="134" customFormat="false" ht="13.8" hidden="false" customHeight="false" outlineLevel="0" collapsed="false">
      <c r="B134" s="9"/>
    </row>
    <row r="135" customFormat="false" ht="13.8" hidden="false" customHeight="false" outlineLevel="0" collapsed="false">
      <c r="B135" s="9"/>
    </row>
    <row r="136" customFormat="false" ht="13.8" hidden="false" customHeight="false" outlineLevel="0" collapsed="false">
      <c r="B136" s="9"/>
    </row>
    <row r="137" customFormat="false" ht="13.8" hidden="false" customHeight="false" outlineLevel="0" collapsed="false">
      <c r="B137" s="9"/>
    </row>
    <row r="138" customFormat="false" ht="13.8" hidden="false" customHeight="false" outlineLevel="0" collapsed="false">
      <c r="B138" s="9"/>
    </row>
    <row r="139" customFormat="false" ht="13.8" hidden="false" customHeight="false" outlineLevel="0" collapsed="false">
      <c r="B139" s="9"/>
    </row>
    <row r="140" customFormat="false" ht="13.8" hidden="false" customHeight="false" outlineLevel="0" collapsed="false">
      <c r="B140" s="9"/>
    </row>
    <row r="141" customFormat="false" ht="13.8" hidden="false" customHeight="false" outlineLevel="0" collapsed="false">
      <c r="B141" s="9"/>
    </row>
    <row r="142" customFormat="false" ht="13.8" hidden="false" customHeight="false" outlineLevel="0" collapsed="false">
      <c r="B142" s="9"/>
    </row>
    <row r="143" customFormat="false" ht="13.8" hidden="false" customHeight="false" outlineLevel="0" collapsed="false">
      <c r="B143" s="9"/>
    </row>
    <row r="144" customFormat="false" ht="13.8" hidden="false" customHeight="false" outlineLevel="0" collapsed="false">
      <c r="B144" s="9"/>
    </row>
    <row r="145" customFormat="false" ht="13.8" hidden="false" customHeight="false" outlineLevel="0" collapsed="false">
      <c r="B145" s="9"/>
    </row>
    <row r="146" customFormat="false" ht="13.8" hidden="false" customHeight="false" outlineLevel="0" collapsed="false">
      <c r="B146" s="9"/>
    </row>
    <row r="147" customFormat="false" ht="13.8" hidden="false" customHeight="false" outlineLevel="0" collapsed="false">
      <c r="B147" s="9"/>
    </row>
    <row r="148" customFormat="false" ht="13.8" hidden="false" customHeight="false" outlineLevel="0" collapsed="false">
      <c r="B148" s="9"/>
    </row>
    <row r="149" customFormat="false" ht="13.8" hidden="false" customHeight="false" outlineLevel="0" collapsed="false">
      <c r="B149" s="9"/>
    </row>
    <row r="150" customFormat="false" ht="13.8" hidden="false" customHeight="false" outlineLevel="0" collapsed="false">
      <c r="B150" s="9"/>
    </row>
    <row r="151" customFormat="false" ht="13.8" hidden="false" customHeight="false" outlineLevel="0" collapsed="false">
      <c r="B151" s="9"/>
    </row>
    <row r="152" customFormat="false" ht="13.8" hidden="false" customHeight="false" outlineLevel="0" collapsed="false">
      <c r="B152" s="9"/>
    </row>
    <row r="153" customFormat="false" ht="13.8" hidden="false" customHeight="false" outlineLevel="0" collapsed="false">
      <c r="B153" s="9"/>
    </row>
    <row r="154" customFormat="false" ht="13.8" hidden="false" customHeight="false" outlineLevel="0" collapsed="false">
      <c r="B154" s="9"/>
    </row>
    <row r="155" customFormat="false" ht="13.8" hidden="false" customHeight="false" outlineLevel="0" collapsed="false">
      <c r="B155" s="9"/>
    </row>
    <row r="156" customFormat="false" ht="13.8" hidden="false" customHeight="false" outlineLevel="0" collapsed="false">
      <c r="B156" s="9"/>
    </row>
    <row r="157" customFormat="false" ht="13.8" hidden="false" customHeight="false" outlineLevel="0" collapsed="false">
      <c r="B157" s="9"/>
    </row>
    <row r="158" customFormat="false" ht="13.8" hidden="false" customHeight="false" outlineLevel="0" collapsed="false">
      <c r="B158" s="9"/>
    </row>
    <row r="159" customFormat="false" ht="13.8" hidden="false" customHeight="false" outlineLevel="0" collapsed="false">
      <c r="B159" s="9"/>
    </row>
    <row r="160" customFormat="false" ht="13.8" hidden="false" customHeight="false" outlineLevel="0" collapsed="false">
      <c r="B160" s="9"/>
    </row>
    <row r="161" customFormat="false" ht="13.8" hidden="false" customHeight="false" outlineLevel="0" collapsed="false">
      <c r="B161" s="9"/>
    </row>
    <row r="162" customFormat="false" ht="13.8" hidden="false" customHeight="false" outlineLevel="0" collapsed="false">
      <c r="B162" s="9"/>
    </row>
    <row r="163" customFormat="false" ht="13.8" hidden="false" customHeight="false" outlineLevel="0" collapsed="false">
      <c r="B163" s="9"/>
    </row>
    <row r="164" customFormat="false" ht="13.8" hidden="false" customHeight="false" outlineLevel="0" collapsed="false">
      <c r="B164" s="9"/>
    </row>
    <row r="165" customFormat="false" ht="13.8" hidden="false" customHeight="false" outlineLevel="0" collapsed="false">
      <c r="B165" s="9"/>
    </row>
    <row r="166" customFormat="false" ht="13.8" hidden="false" customHeight="false" outlineLevel="0" collapsed="false">
      <c r="B166" s="9"/>
    </row>
    <row r="167" customFormat="false" ht="13.8" hidden="false" customHeight="false" outlineLevel="0" collapsed="false">
      <c r="B167" s="9"/>
    </row>
    <row r="168" customFormat="false" ht="13.8" hidden="false" customHeight="false" outlineLevel="0" collapsed="false">
      <c r="B168" s="9"/>
    </row>
    <row r="169" customFormat="false" ht="13.8" hidden="false" customHeight="false" outlineLevel="0" collapsed="false">
      <c r="B169" s="9"/>
    </row>
    <row r="170" customFormat="false" ht="13.8" hidden="false" customHeight="false" outlineLevel="0" collapsed="false">
      <c r="B170" s="9"/>
    </row>
    <row r="171" customFormat="false" ht="13.8" hidden="false" customHeight="false" outlineLevel="0" collapsed="false">
      <c r="B171" s="9"/>
    </row>
    <row r="172" customFormat="false" ht="13.8" hidden="false" customHeight="false" outlineLevel="0" collapsed="false">
      <c r="B172" s="9"/>
    </row>
    <row r="173" customFormat="false" ht="13.8" hidden="false" customHeight="false" outlineLevel="0" collapsed="false">
      <c r="B173" s="9"/>
    </row>
    <row r="174" customFormat="false" ht="13.8" hidden="false" customHeight="false" outlineLevel="0" collapsed="false">
      <c r="B174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9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E5" activeCellId="0" sqref="E5:L5"/>
    </sheetView>
  </sheetViews>
  <sheetFormatPr defaultColWidth="10.1640625" defaultRowHeight="12.8" customHeight="false" zeroHeight="false" outlineLevelRow="0" outlineLevelCol="0"/>
  <cols>
    <col collapsed="false" customWidth="false" hidden="false" outlineLevel="0" max="1" min="1" style="9" width="10.16"/>
    <col collapsed="false" customWidth="true" hidden="false" outlineLevel="0" max="3" min="2" style="9" width="15.79"/>
    <col collapsed="false" customWidth="false" hidden="false" outlineLevel="0" max="4" min="4" style="9" width="10.16"/>
    <col collapsed="false" customWidth="true" hidden="false" outlineLevel="0" max="6" min="5" style="9" width="16.67"/>
    <col collapsed="false" customWidth="true" hidden="false" outlineLevel="0" max="7" min="7" style="9" width="15.79"/>
    <col collapsed="false" customWidth="true" hidden="false" outlineLevel="0" max="9" min="8" style="9" width="17.95"/>
    <col collapsed="false" customWidth="true" hidden="false" outlineLevel="0" max="10" min="10" style="9" width="15.79"/>
    <col collapsed="false" customWidth="false" hidden="false" outlineLevel="0" max="11" min="11" style="9" width="10.16"/>
    <col collapsed="false" customWidth="true" hidden="false" outlineLevel="0" max="12" min="12" style="9" width="11.81"/>
    <col collapsed="false" customWidth="false" hidden="false" outlineLevel="0" max="16384" min="13" style="9" width="10.16"/>
  </cols>
  <sheetData>
    <row r="1" customFormat="false" ht="13.8" hidden="false" customHeight="false" outlineLevel="0" collapsed="false">
      <c r="A1" s="1"/>
      <c r="B1" s="1"/>
      <c r="C1" s="1"/>
    </row>
    <row r="3" customFormat="false" ht="12.8" hidden="false" customHeight="false" outlineLevel="0" collapsed="false">
      <c r="B3" s="11" t="s">
        <v>106</v>
      </c>
      <c r="C3" s="11"/>
    </row>
    <row r="4" customFormat="false" ht="12.8" hidden="false" customHeight="false" outlineLevel="0" collapsed="false">
      <c r="A4" s="9" t="s">
        <v>108</v>
      </c>
      <c r="B4" s="9" t="s">
        <v>109</v>
      </c>
      <c r="C4" s="9" t="s">
        <v>110</v>
      </c>
      <c r="E4" s="9" t="s">
        <v>111</v>
      </c>
      <c r="F4" s="9" t="s">
        <v>112</v>
      </c>
      <c r="G4" s="9" t="s">
        <v>113</v>
      </c>
      <c r="H4" s="9" t="s">
        <v>114</v>
      </c>
      <c r="I4" s="9" t="s">
        <v>115</v>
      </c>
      <c r="J4" s="9" t="s">
        <v>116</v>
      </c>
      <c r="K4" s="9" t="s">
        <v>117</v>
      </c>
      <c r="L4" s="9" t="s">
        <v>118</v>
      </c>
    </row>
    <row r="5" customFormat="false" ht="12.8" hidden="false" customHeight="false" outlineLevel="0" collapsed="false">
      <c r="A5" s="7" t="n">
        <v>1</v>
      </c>
      <c r="B5" s="9" t="n">
        <v>0.815772031466282</v>
      </c>
      <c r="C5" s="9" t="n">
        <v>0.812375866700629</v>
      </c>
      <c r="E5" s="9" t="n">
        <f aca="false">_xlfn.STDEV.S(B5:B28)</f>
        <v>0.0738125291380989</v>
      </c>
      <c r="F5" s="9" t="n">
        <f aca="false">_xlfn.STDEV.S(C5:C28)</f>
        <v>0.0831594683795507</v>
      </c>
      <c r="G5" s="9" t="n">
        <f aca="false">_xlfn.F.TEST(B5:B28,C5:C28)</f>
        <v>0.572091285549664</v>
      </c>
      <c r="H5" s="9" t="n">
        <f aca="false">_xlfn.T.TEST(B5:B28, C5:C28, 2,2)</f>
        <v>2.46668526197696E-006</v>
      </c>
      <c r="I5" s="9" t="n">
        <f aca="false">_xlfn.T.TEST(B5:B28,C5:C28, 2,3)</f>
        <v>2.55570222952692E-006</v>
      </c>
      <c r="J5" s="9" t="n">
        <f aca="false">AVERAGE(B5:B28)-AVERAGE(C5:C28)</f>
        <v>0.122013891999801</v>
      </c>
      <c r="K5" s="9" t="n">
        <f aca="false">AVERAGE(B5:B28)</f>
        <v>0.721963787957385</v>
      </c>
      <c r="L5" s="9" t="n">
        <f aca="false">AVERAGE(C5:C28)</f>
        <v>0.599949895957584</v>
      </c>
    </row>
    <row r="6" customFormat="false" ht="12.8" hidden="false" customHeight="false" outlineLevel="0" collapsed="false">
      <c r="A6" s="7" t="n">
        <v>2</v>
      </c>
      <c r="B6" s="9" t="n">
        <v>0.690178981295079</v>
      </c>
      <c r="C6" s="9" t="n">
        <v>0.621326054028327</v>
      </c>
    </row>
    <row r="7" customFormat="false" ht="12.8" hidden="false" customHeight="false" outlineLevel="0" collapsed="false">
      <c r="A7" s="7" t="n">
        <v>3</v>
      </c>
      <c r="B7" s="9" t="n">
        <v>0.678236595135105</v>
      </c>
      <c r="C7" s="9" t="n">
        <v>0.681899333424152</v>
      </c>
      <c r="E7" s="12" t="s">
        <v>119</v>
      </c>
    </row>
    <row r="8" customFormat="false" ht="12.8" hidden="false" customHeight="false" outlineLevel="0" collapsed="false">
      <c r="A8" s="7" t="n">
        <v>4</v>
      </c>
      <c r="B8" s="9" t="n">
        <v>0.599753209767944</v>
      </c>
      <c r="C8" s="9" t="n">
        <v>0.674771839496378</v>
      </c>
    </row>
    <row r="9" customFormat="false" ht="12.8" hidden="false" customHeight="false" outlineLevel="0" collapsed="false">
      <c r="A9" s="7" t="n">
        <v>5</v>
      </c>
      <c r="B9" s="9" t="n">
        <v>0.571410730397255</v>
      </c>
      <c r="C9" s="9" t="n">
        <v>0.51803751024012</v>
      </c>
    </row>
    <row r="10" customFormat="false" ht="12.8" hidden="false" customHeight="false" outlineLevel="0" collapsed="false">
      <c r="A10" s="7" t="n">
        <v>6</v>
      </c>
      <c r="B10" s="9" t="n">
        <v>0.665331994991001</v>
      </c>
      <c r="C10" s="9" t="n">
        <v>0.606253624859241</v>
      </c>
    </row>
    <row r="11" customFormat="false" ht="12.8" hidden="false" customHeight="false" outlineLevel="0" collapsed="false">
      <c r="A11" s="7" t="n">
        <v>7</v>
      </c>
      <c r="B11" s="9" t="n">
        <v>0.834581956795994</v>
      </c>
      <c r="C11" s="9" t="n">
        <v>0.602791213061993</v>
      </c>
    </row>
    <row r="12" customFormat="false" ht="12.8" hidden="false" customHeight="false" outlineLevel="0" collapsed="false">
      <c r="A12" s="7" t="n">
        <v>8</v>
      </c>
      <c r="B12" s="9" t="n">
        <v>0.727191552934014</v>
      </c>
      <c r="C12" s="9" t="n">
        <v>0.542603699900357</v>
      </c>
    </row>
    <row r="13" customFormat="false" ht="12.8" hidden="false" customHeight="false" outlineLevel="0" collapsed="false">
      <c r="A13" s="7" t="n">
        <v>9</v>
      </c>
      <c r="B13" s="9" t="n">
        <v>0.69768144989318</v>
      </c>
      <c r="C13" s="9" t="n">
        <v>0.652419536797036</v>
      </c>
    </row>
    <row r="14" customFormat="false" ht="12.8" hidden="false" customHeight="false" outlineLevel="0" collapsed="false">
      <c r="A14" s="7" t="n">
        <v>10</v>
      </c>
      <c r="B14" s="9" t="n">
        <v>0.619580092617654</v>
      </c>
      <c r="C14" s="9" t="n">
        <v>0.450905597774938</v>
      </c>
    </row>
    <row r="15" customFormat="false" ht="12.8" hidden="false" customHeight="false" outlineLevel="0" collapsed="false">
      <c r="A15" s="7" t="n">
        <v>11</v>
      </c>
      <c r="B15" s="9" t="n">
        <v>0.774921176890618</v>
      </c>
      <c r="C15" s="9" t="n">
        <v>0.546133776873995</v>
      </c>
    </row>
    <row r="16" customFormat="false" ht="12.8" hidden="false" customHeight="false" outlineLevel="0" collapsed="false">
      <c r="A16" s="7" t="n">
        <v>12</v>
      </c>
      <c r="B16" s="9" t="n">
        <v>0.753553709109679</v>
      </c>
      <c r="C16" s="9" t="n">
        <v>0.665778032490698</v>
      </c>
    </row>
    <row r="17" customFormat="false" ht="12.8" hidden="false" customHeight="false" outlineLevel="0" collapsed="false">
      <c r="A17" s="7" t="n">
        <v>13</v>
      </c>
      <c r="B17" s="9" t="n">
        <v>0.672563929439104</v>
      </c>
      <c r="C17" s="9" t="n">
        <v>0.570178682607378</v>
      </c>
    </row>
    <row r="18" customFormat="false" ht="12.8" hidden="false" customHeight="false" outlineLevel="0" collapsed="false">
      <c r="A18" s="7" t="n">
        <v>14</v>
      </c>
      <c r="B18" s="9" t="n">
        <v>0.793428445401866</v>
      </c>
      <c r="C18" s="9" t="n">
        <v>0.63671805888081</v>
      </c>
    </row>
    <row r="19" customFormat="false" ht="12.8" hidden="false" customHeight="false" outlineLevel="0" collapsed="false">
      <c r="A19" s="7" t="n">
        <v>15</v>
      </c>
      <c r="B19" s="9" t="n">
        <v>0.822215644660448</v>
      </c>
      <c r="C19" s="9" t="n">
        <v>0.686211801872884</v>
      </c>
    </row>
    <row r="20" customFormat="false" ht="12.8" hidden="false" customHeight="false" outlineLevel="0" collapsed="false">
      <c r="A20" s="7" t="n">
        <v>16</v>
      </c>
      <c r="B20" s="9" t="n">
        <v>0.635332717811399</v>
      </c>
      <c r="C20" s="9" t="n">
        <v>0.528746891036281</v>
      </c>
    </row>
    <row r="21" customFormat="false" ht="12.8" hidden="false" customHeight="false" outlineLevel="0" collapsed="false">
      <c r="A21" s="7" t="n">
        <v>17</v>
      </c>
      <c r="B21" s="9" t="n">
        <v>0.793594653760174</v>
      </c>
      <c r="C21" s="9" t="n">
        <v>0.550793523290854</v>
      </c>
    </row>
    <row r="22" customFormat="false" ht="12.8" hidden="false" customHeight="false" outlineLevel="0" collapsed="false">
      <c r="A22" s="7" t="n">
        <v>18</v>
      </c>
      <c r="B22" s="9" t="n">
        <v>0.704871448301166</v>
      </c>
      <c r="C22" s="9" t="n">
        <v>0.573839583361676</v>
      </c>
    </row>
    <row r="23" customFormat="false" ht="12.8" hidden="false" customHeight="false" outlineLevel="0" collapsed="false">
      <c r="A23" s="7" t="n">
        <v>19</v>
      </c>
      <c r="B23" s="9" t="n">
        <v>0.807380134018013</v>
      </c>
      <c r="C23" s="9" t="n">
        <v>0.638711323785104</v>
      </c>
    </row>
    <row r="24" customFormat="false" ht="12.8" hidden="false" customHeight="false" outlineLevel="0" collapsed="false">
      <c r="A24" s="7" t="n">
        <v>20</v>
      </c>
      <c r="B24" s="9" t="n">
        <v>0.685839894231455</v>
      </c>
      <c r="C24" s="9" t="n">
        <v>0.597975746643383</v>
      </c>
    </row>
    <row r="25" customFormat="false" ht="12.8" hidden="false" customHeight="false" outlineLevel="0" collapsed="false">
      <c r="A25" s="7" t="n">
        <v>21</v>
      </c>
      <c r="B25" s="9" t="n">
        <v>0.744532936686859</v>
      </c>
      <c r="C25" s="9" t="n">
        <v>0.620579654001758</v>
      </c>
    </row>
    <row r="26" customFormat="false" ht="12.8" hidden="false" customHeight="false" outlineLevel="0" collapsed="false">
      <c r="A26" s="7" t="n">
        <v>22</v>
      </c>
      <c r="B26" s="9" t="n">
        <v>0.793440478998772</v>
      </c>
      <c r="C26" s="9" t="n">
        <v>0.582519361253929</v>
      </c>
    </row>
    <row r="27" customFormat="false" ht="12.8" hidden="false" customHeight="false" outlineLevel="0" collapsed="false">
      <c r="A27" s="7" t="n">
        <v>23</v>
      </c>
      <c r="B27" s="9" t="n">
        <v>0.707901607946691</v>
      </c>
      <c r="C27" s="9" t="n">
        <v>0.405468497903575</v>
      </c>
    </row>
    <row r="28" customFormat="false" ht="12.8" hidden="false" customHeight="false" outlineLevel="0" collapsed="false">
      <c r="A28" s="7" t="n">
        <v>24</v>
      </c>
      <c r="B28" s="9" t="n">
        <v>0.737835538427487</v>
      </c>
      <c r="C28" s="9" t="n">
        <v>0.631758292696521</v>
      </c>
    </row>
    <row r="29" customFormat="false" ht="12.8" hidden="false" customHeight="false" outlineLevel="0" collapsed="false">
      <c r="A29" s="7"/>
    </row>
    <row r="32" customFormat="false" ht="12.8" hidden="false" customHeight="false" outlineLevel="0" collapsed="false">
      <c r="A32" s="9" t="s">
        <v>120</v>
      </c>
    </row>
    <row r="34" customFormat="false" ht="12.8" hidden="false" customHeight="false" outlineLevel="0" collapsed="false">
      <c r="B34" s="9" t="s">
        <v>121</v>
      </c>
      <c r="C34" s="9" t="s">
        <v>109</v>
      </c>
      <c r="E34" s="9" t="s">
        <v>111</v>
      </c>
      <c r="F34" s="9" t="s">
        <v>112</v>
      </c>
      <c r="G34" s="9" t="s">
        <v>113</v>
      </c>
      <c r="H34" s="9" t="s">
        <v>114</v>
      </c>
      <c r="I34" s="9" t="s">
        <v>115</v>
      </c>
      <c r="J34" s="9" t="s">
        <v>116</v>
      </c>
    </row>
    <row r="35" customFormat="false" ht="12.8" hidden="false" customHeight="false" outlineLevel="0" collapsed="false">
      <c r="A35" s="7" t="n">
        <v>1</v>
      </c>
      <c r="B35" s="9" t="n">
        <v>0.816612774002254</v>
      </c>
      <c r="C35" s="9" t="n">
        <v>0.815772031466282</v>
      </c>
      <c r="E35" s="9" t="n">
        <f aca="false">_xlfn.STDEV.S(B35:B58)</f>
        <v>0.0701462445108797</v>
      </c>
      <c r="F35" s="9" t="n">
        <f aca="false">_xlfn.STDEV.S(C35:C58)</f>
        <v>0.0738125291380989</v>
      </c>
      <c r="G35" s="9" t="n">
        <f aca="false">_xlfn.F.TEST(B35:B58,C35:C58)</f>
        <v>0.80906124171146</v>
      </c>
      <c r="H35" s="9" t="n">
        <f aca="false">_xlfn.T.TEST(B35:B58, C35:C58, 2,2)</f>
        <v>0.635960812315103</v>
      </c>
      <c r="I35" s="9" t="n">
        <f aca="false">_xlfn.T.TEST(B35:B58,C35:C58, 2,3)</f>
        <v>0.635966637148375</v>
      </c>
      <c r="J35" s="9" t="n">
        <f aca="false">AVERAGE(B35:B58)-AVERAGE(C35:C58)</f>
        <v>0.00990462717563323</v>
      </c>
    </row>
    <row r="36" customFormat="false" ht="12.8" hidden="false" customHeight="false" outlineLevel="0" collapsed="false">
      <c r="A36" s="7" t="n">
        <v>2</v>
      </c>
      <c r="B36" s="9" t="n">
        <v>0.685603988915714</v>
      </c>
      <c r="C36" s="9" t="n">
        <v>0.690178981295079</v>
      </c>
    </row>
    <row r="37" customFormat="false" ht="12.8" hidden="false" customHeight="false" outlineLevel="0" collapsed="false">
      <c r="A37" s="7" t="n">
        <v>3</v>
      </c>
      <c r="B37" s="9" t="n">
        <v>0.692192998668189</v>
      </c>
      <c r="C37" s="9" t="n">
        <v>0.678236595135105</v>
      </c>
    </row>
    <row r="38" customFormat="false" ht="12.8" hidden="false" customHeight="false" outlineLevel="0" collapsed="false">
      <c r="A38" s="7" t="n">
        <v>4</v>
      </c>
      <c r="B38" s="9" t="n">
        <v>0.631090165894541</v>
      </c>
      <c r="C38" s="9" t="n">
        <v>0.599753209767944</v>
      </c>
    </row>
    <row r="39" customFormat="false" ht="12.8" hidden="false" customHeight="false" outlineLevel="0" collapsed="false">
      <c r="A39" s="7" t="n">
        <v>5</v>
      </c>
      <c r="B39" s="9" t="n">
        <v>0.594608889064775</v>
      </c>
      <c r="C39" s="9" t="n">
        <v>0.571410730397255</v>
      </c>
    </row>
    <row r="40" customFormat="false" ht="12.8" hidden="false" customHeight="false" outlineLevel="0" collapsed="false">
      <c r="A40" s="7" t="n">
        <v>6</v>
      </c>
      <c r="B40" s="9" t="n">
        <v>0.67289207367249</v>
      </c>
      <c r="C40" s="9" t="n">
        <v>0.665331994991001</v>
      </c>
    </row>
    <row r="41" customFormat="false" ht="12.8" hidden="false" customHeight="false" outlineLevel="0" collapsed="false">
      <c r="A41" s="7" t="n">
        <v>7</v>
      </c>
      <c r="B41" s="9" t="n">
        <v>0.815471874765396</v>
      </c>
      <c r="C41" s="9" t="n">
        <v>0.834581956795994</v>
      </c>
    </row>
    <row r="42" customFormat="false" ht="12.8" hidden="false" customHeight="false" outlineLevel="0" collapsed="false">
      <c r="A42" s="7" t="n">
        <v>8</v>
      </c>
      <c r="B42" s="9" t="n">
        <v>0.777361261632441</v>
      </c>
      <c r="C42" s="9" t="n">
        <v>0.727191552934014</v>
      </c>
    </row>
    <row r="43" customFormat="false" ht="12.8" hidden="false" customHeight="false" outlineLevel="0" collapsed="false">
      <c r="A43" s="7" t="n">
        <v>9</v>
      </c>
      <c r="B43" s="9" t="n">
        <v>0.692246291421963</v>
      </c>
      <c r="C43" s="9" t="n">
        <v>0.69768144989318</v>
      </c>
    </row>
    <row r="44" customFormat="false" ht="12.8" hidden="false" customHeight="false" outlineLevel="0" collapsed="false">
      <c r="A44" s="7" t="n">
        <v>10</v>
      </c>
      <c r="B44" s="9" t="n">
        <v>0.615841349915757</v>
      </c>
      <c r="C44" s="9" t="n">
        <v>0.619580092617654</v>
      </c>
    </row>
    <row r="45" customFormat="false" ht="12.8" hidden="false" customHeight="false" outlineLevel="0" collapsed="false">
      <c r="A45" s="7" t="n">
        <v>11</v>
      </c>
      <c r="B45" s="9" t="n">
        <v>0.775302494128078</v>
      </c>
      <c r="C45" s="9" t="n">
        <v>0.774921176890618</v>
      </c>
    </row>
    <row r="46" customFormat="false" ht="12.8" hidden="false" customHeight="false" outlineLevel="0" collapsed="false">
      <c r="A46" s="7" t="n">
        <v>12</v>
      </c>
      <c r="B46" s="9" t="n">
        <v>0.745549821920152</v>
      </c>
      <c r="C46" s="9" t="n">
        <v>0.753553709109679</v>
      </c>
    </row>
    <row r="47" customFormat="false" ht="12.8" hidden="false" customHeight="false" outlineLevel="0" collapsed="false">
      <c r="A47" s="7" t="n">
        <v>13</v>
      </c>
      <c r="B47" s="9" t="n">
        <v>0.675936476989854</v>
      </c>
      <c r="C47" s="9" t="n">
        <v>0.672563929439104</v>
      </c>
    </row>
    <row r="48" customFormat="false" ht="12.8" hidden="false" customHeight="false" outlineLevel="0" collapsed="false">
      <c r="A48" s="7" t="n">
        <v>14</v>
      </c>
      <c r="B48" s="9" t="n">
        <v>0.797455345493423</v>
      </c>
      <c r="C48" s="9" t="n">
        <v>0.793428445401866</v>
      </c>
    </row>
    <row r="49" customFormat="false" ht="12.8" hidden="false" customHeight="false" outlineLevel="0" collapsed="false">
      <c r="A49" s="7" t="n">
        <v>15</v>
      </c>
      <c r="B49" s="9" t="n">
        <v>0.831683746706372</v>
      </c>
      <c r="C49" s="9" t="n">
        <v>0.822215644660448</v>
      </c>
    </row>
    <row r="50" customFormat="false" ht="12.8" hidden="false" customHeight="false" outlineLevel="0" collapsed="false">
      <c r="A50" s="7" t="n">
        <v>16</v>
      </c>
      <c r="B50" s="9" t="n">
        <v>0.665915062167674</v>
      </c>
      <c r="C50" s="9" t="n">
        <v>0.635332717811399</v>
      </c>
    </row>
    <row r="51" customFormat="false" ht="12.8" hidden="false" customHeight="false" outlineLevel="0" collapsed="false">
      <c r="A51" s="7" t="n">
        <v>17</v>
      </c>
      <c r="B51" s="9" t="n">
        <v>0.808465032172267</v>
      </c>
      <c r="C51" s="9" t="n">
        <v>0.793594653760174</v>
      </c>
    </row>
    <row r="52" customFormat="false" ht="12.8" hidden="false" customHeight="false" outlineLevel="0" collapsed="false">
      <c r="A52" s="7" t="n">
        <v>18</v>
      </c>
      <c r="B52" s="9" t="n">
        <v>0.702923330052347</v>
      </c>
      <c r="C52" s="9" t="n">
        <v>0.704871448301166</v>
      </c>
    </row>
    <row r="53" customFormat="false" ht="12.8" hidden="false" customHeight="false" outlineLevel="0" collapsed="false">
      <c r="A53" s="7" t="n">
        <v>19</v>
      </c>
      <c r="B53" s="9" t="n">
        <v>0.833849291363568</v>
      </c>
      <c r="C53" s="9" t="n">
        <v>0.807380134018013</v>
      </c>
    </row>
    <row r="54" customFormat="false" ht="12.8" hidden="false" customHeight="false" outlineLevel="0" collapsed="false">
      <c r="A54" s="7" t="n">
        <v>20</v>
      </c>
      <c r="B54" s="9" t="n">
        <v>0.790624245512354</v>
      </c>
      <c r="C54" s="9" t="n">
        <v>0.685839894231455</v>
      </c>
    </row>
    <row r="55" customFormat="false" ht="12.8" hidden="false" customHeight="false" outlineLevel="0" collapsed="false">
      <c r="A55" s="7" t="n">
        <v>21</v>
      </c>
      <c r="B55" s="9" t="n">
        <v>0.730617364036752</v>
      </c>
      <c r="C55" s="9" t="n">
        <v>0.744532936686859</v>
      </c>
    </row>
    <row r="56" customFormat="false" ht="12.8" hidden="false" customHeight="false" outlineLevel="0" collapsed="false">
      <c r="A56" s="7" t="n">
        <v>22</v>
      </c>
      <c r="B56" s="9" t="n">
        <v>0.765208060825559</v>
      </c>
      <c r="C56" s="9" t="n">
        <v>0.793440478998772</v>
      </c>
    </row>
    <row r="57" customFormat="false" ht="12.8" hidden="false" customHeight="false" outlineLevel="0" collapsed="false">
      <c r="A57" s="7" t="n">
        <v>23</v>
      </c>
      <c r="B57" s="9" t="n">
        <v>0.717035427894149</v>
      </c>
      <c r="C57" s="9" t="n">
        <v>0.707901607946691</v>
      </c>
    </row>
    <row r="58" customFormat="false" ht="12.8" hidden="false" customHeight="false" outlineLevel="0" collapsed="false">
      <c r="A58" s="7" t="n">
        <v>24</v>
      </c>
      <c r="B58" s="9" t="n">
        <v>0.730354595976365</v>
      </c>
      <c r="C58" s="9" t="n">
        <v>0.737835538427487</v>
      </c>
    </row>
    <row r="59" customFormat="false" ht="14.15" hidden="false" customHeight="false" outlineLevel="0" collapsed="false">
      <c r="A59" s="7"/>
    </row>
  </sheetData>
  <mergeCells count="1">
    <mergeCell ref="B3:C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2026-02-20T14:40:55Z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
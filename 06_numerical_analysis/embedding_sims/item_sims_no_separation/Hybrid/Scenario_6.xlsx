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6_hybrid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<sst xmlns="http://schemas.openxmlformats.org/spreadsheetml/2006/main" count="736" uniqueCount="139">
  <si>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</si>
  <si>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</si>
  <si>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</si>
  <si>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</si>
  <si>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</si>
  <si>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</si>
  <si>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</si>
  <si>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</si>
  <si>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</si>
  <si>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</si>
  <si>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</si>
  <si>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</si>
  <si>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</si>
  <si>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</si>
  <si>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</si>
  <si>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</si>
  <si>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c93f4cd5-d999-4d7a-920b-d2aa1cf301ea</t>
  </si>
  <si>
    <t xml:space="preserve">cmjfktnnh01dbzca6ahpd34ma</t>
  </si>
  <si>
    <t xml:space="preserve">cmjfkumue01dszca6xjud42dj</t>
  </si>
  <si>
    <t xml:space="preserve">hybrid_v3_5</t>
  </si>
  <si>
    <t xml:space="preserve">Scenario_6</t>
  </si>
  <si>
    <t xml:space="preserve">truth_and_fact</t>
  </si>
  <si>
    <t xml:space="preserve">05bd537b-4d55-4f59-b39c-d8c9bcc18fc0</t>
  </si>
  <si>
    <t xml:space="preserve">cmjfkvn5h01dwzca6ybvm0d0r</t>
  </si>
  <si>
    <t xml:space="preserve">cmjfkw59301edzca6oozo3xof</t>
  </si>
  <si>
    <t xml:space="preserve">7549d458-2ac4-430d-af68-d71123c6d3c6</t>
  </si>
  <si>
    <t xml:space="preserve">cmjfkww8701ehzca69xpisk8l</t>
  </si>
  <si>
    <t xml:space="preserve">cmjfkxrhr01eyzca6vjc9m6by</t>
  </si>
  <si>
    <t xml:space="preserve">practicality_and_feasibility</t>
  </si>
  <si>
    <t xml:space="preserve">imagination_and_possibility</t>
  </si>
  <si>
    <t xml:space="preserve">context_dependent_expression</t>
  </si>
  <si>
    <t xml:space="preserve">mathematics_computer_science_engineering</t>
  </si>
  <si>
    <t xml:space="preserve">freedom_and_limitations</t>
  </si>
  <si>
    <t xml:space="preserve">9f26c07b-d653-4599-9876-edd9bdc0ef5c</t>
  </si>
  <si>
    <t xml:space="preserve">cmjfkyakl01f2zca6ye0d370k</t>
  </si>
  <si>
    <t xml:space="preserve">cmjfkysvf01fjzca6bxxktl1u</t>
  </si>
  <si>
    <t xml:space="preserve">3fe8d050-d84d-4148-82f7-00c1e0b1ba03</t>
  </si>
  <si>
    <t xml:space="preserve">cmjfkzs6q01fnzca6yjq6za3v</t>
  </si>
  <si>
    <t xml:space="preserve">cmjfl0zw001g4zca6lojot2aw</t>
  </si>
  <si>
    <t xml:space="preserve">affective_interface</t>
  </si>
  <si>
    <t xml:space="preserve">temporal_dynamics</t>
  </si>
  <si>
    <t xml:space="preserve">9251709c-d13e-443f-9e1c-3fe4f2acba22</t>
  </si>
  <si>
    <t xml:space="preserve">cmjfl1mno01g8zca6sw3loysj</t>
  </si>
  <si>
    <t xml:space="preserve">cmjfl25tw01gpzca6o0rd2uv4</t>
  </si>
  <si>
    <t xml:space="preserve">5fefea63-5c51-4a00-bb26-33fb2538025d</t>
  </si>
  <si>
    <t xml:space="preserve">cmjfl2ev001gtzca60kx7dq2c</t>
  </si>
  <si>
    <t xml:space="preserve">cmjfl2wjk01hazca64h73d2ox</t>
  </si>
  <si>
    <t xml:space="preserve">sovereignty</t>
  </si>
  <si>
    <t xml:space="preserve">5d520225-d796-4c32-a2cc-6be238f03791</t>
  </si>
  <si>
    <t xml:space="preserve">cmjfl3iif01hezca69g0x0u6i</t>
  </si>
  <si>
    <t xml:space="preserve">cmjfl46sp01hvzca6v5gieuow</t>
  </si>
  <si>
    <t xml:space="preserve">identity</t>
  </si>
  <si>
    <t xml:space="preserve">be999bc6-2a8e-479e-b32c-6a8e3e75c811</t>
  </si>
  <si>
    <t xml:space="preserve">cmjfl4lke01hzzca6lvrronpa</t>
  </si>
  <si>
    <t xml:space="preserve">cmjfl5edm01igzca6efhc7zke</t>
  </si>
  <si>
    <t xml:space="preserve">bddee759-27c6-45ec-965f-1eec991454cc</t>
  </si>
  <si>
    <t xml:space="preserve">cmjfl5qid01ikzca6h1afpu59</t>
  </si>
  <si>
    <t xml:space="preserve">cmjfl6adt01j1zca6icd44ea3</t>
  </si>
  <si>
    <t xml:space="preserve">94586a16-fda3-47db-b78d-4bac80df0c03</t>
  </si>
  <si>
    <t xml:space="preserve">cmjfl6i1a01j5zca6p19gr660</t>
  </si>
  <si>
    <t xml:space="preserve">cmjfl6xj401jmzca6l2wi5tmp</t>
  </si>
  <si>
    <t xml:space="preserve">5568fa57-e193-4ac0-8960-f1a46aa1a5de</t>
  </si>
  <si>
    <t xml:space="preserve">cmjfl781701jqzca64kf3bv7c</t>
  </si>
  <si>
    <t xml:space="preserve">cmjfl7l5o01k7zca625fltht2</t>
  </si>
  <si>
    <t xml:space="preserve">ae234754-3114-4607-831c-65f573c647a4</t>
  </si>
  <si>
    <t xml:space="preserve">cmjfl7w4y01kbzca6bbbetm9h</t>
  </si>
  <si>
    <t xml:space="preserve">cmjfl8ain01kszca6ljd19puo</t>
  </si>
  <si>
    <t xml:space="preserve">bab5a798-4e0a-4a18-9c55-2ebb7d7b873e</t>
  </si>
  <si>
    <t xml:space="preserve">cmjfl94du01kwzca6qaiexjzs</t>
  </si>
  <si>
    <t xml:space="preserve">cmjfl9x4e01ldzca6g1r193iu</t>
  </si>
  <si>
    <t xml:space="preserve">5c5c07cc-1e54-4a37-ae0a-f935ea0832ea</t>
  </si>
  <si>
    <t xml:space="preserve">cmjflac7z01lhzca6lq1uvcmp</t>
  </si>
  <si>
    <t xml:space="preserve">cmjflazp901lyzca6cns3brye</t>
  </si>
  <si>
    <t xml:space="preserve">9124abb3-bed5-42f6-8026-e19e5794be47</t>
  </si>
  <si>
    <t xml:space="preserve">cmjflbi9b01m2zca6xkdftt8o</t>
  </si>
  <si>
    <t xml:space="preserve">cmjflc3me01mjzca690vhjjm4</t>
  </si>
  <si>
    <t xml:space="preserve">88433780-583e-45b1-88ee-f9b131a0f7c0</t>
  </si>
  <si>
    <t xml:space="preserve">cmjflcdt801mnzca6d8f7b8kg</t>
  </si>
  <si>
    <t xml:space="preserve">cmjfld13e01n4zca6g4zwfk9s</t>
  </si>
  <si>
    <t xml:space="preserve">7ce63f40-d7cf-4ad0-b4aa-fd725c73cfdb</t>
  </si>
  <si>
    <t xml:space="preserve">cmjfldaxh01n8zca6oa956bma</t>
  </si>
  <si>
    <t xml:space="preserve">cmjfldyuh01npzca65bj04nzz</t>
  </si>
  <si>
    <t xml:space="preserve">72a16868-ae15-41a7-810c-924ae14db242</t>
  </si>
  <si>
    <t xml:space="preserve">cmjflemp801ntzca6z975fqkl</t>
  </si>
  <si>
    <t xml:space="preserve">cmjflf86t01oazca6kbwol1zs</t>
  </si>
  <si>
    <t xml:space="preserve">057bd0e3-49df-40f8-bcdf-229bc3e8b37b</t>
  </si>
  <si>
    <t xml:space="preserve">cmjflfm5q01oezca66rroxga9</t>
  </si>
  <si>
    <t xml:space="preserve">cmjflg8e201ovzca6399b5ec7</t>
  </si>
  <si>
    <t xml:space="preserve">science</t>
  </si>
  <si>
    <t xml:space="preserve">81b87d2b-989f-4c60-a5a7-907bd162a271</t>
  </si>
  <si>
    <t xml:space="preserve">cmjflgm2o01ozzca6o8tf8m2p</t>
  </si>
  <si>
    <t xml:space="preserve">cmjflh5cm01pgzca6r01lt41b</t>
  </si>
  <si>
    <t xml:space="preserve">fafaf19a-7cc7-45c6-97c3-b3049f22929f</t>
  </si>
  <si>
    <t xml:space="preserve">cmjfli1sb01pkzca671lpg2wq</t>
  </si>
  <si>
    <t xml:space="preserve">cmjflinlh01q1zca64cnwbxsd</t>
  </si>
  <si>
    <t xml:space="preserve">3fa089ea-c638-4022-a940-56aaec4dcb5d</t>
  </si>
  <si>
    <t xml:space="preserve">cmjflj8i301q5zca6rxvb2z76</t>
  </si>
  <si>
    <t xml:space="preserve">cmjfljwqb01qmzca66v5cldqt</t>
  </si>
  <si>
    <t xml:space="preserve">e74f71ee-c5f7-4386-8de1-6c7a26195ced</t>
  </si>
  <si>
    <t xml:space="preserve">cmjflk62k01qqzca6yx8m8g8g</t>
  </si>
  <si>
    <t xml:space="preserve">cmjflknrc01r7zca6q21t0b81</t>
  </si>
  <si>
    <t xml:space="preserve">52d73fb7-f967-47ca-9a97-f974925f9019</t>
  </si>
  <si>
    <t xml:space="preserve">cmjfllj8901rbzca6oqsn6lva</t>
  </si>
  <si>
    <t xml:space="preserve">cmjfllzsq01rszca660rp5q47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</si>
  <si>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</si>
  <si>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</si>
  <si>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</si>
  <si>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</si>
  <si>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</si>
  <si>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</si>
  <si>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hybrid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</si>
  <si>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</si>
  <si>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</si>
  <si>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</si>
  <si>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</si>
  <si>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</si>
  <si>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</si>
  <si>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</si>
  <si>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scen</t>
  </si>
  <si>
    <t xml:space="preserve">Mean control</t>
  </si>
  <si>
    <t xml:space="preserve">General</t>
  </si>
  <si>
    <t xml:space="preserve">ac15p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</si>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</sst>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0.818947298519002</c:v>
                </c:pt>
                <c:pt idx="1">
                  <c:v>0.726675054349364</c:v>
                </c:pt>
                <c:pt idx="2">
                  <c:v>0.753823763148008</c:v>
                </c:pt>
                <c:pt idx="3">
                  <c:v>0.694689160951428</c:v>
                </c:pt>
                <c:pt idx="4">
                  <c:v>0.750318975083652</c:v>
                </c:pt>
                <c:pt idx="5">
                  <c:v>0.792897506425522</c:v>
                </c:pt>
                <c:pt idx="6">
                  <c:v>0.740717063652639</c:v>
                </c:pt>
                <c:pt idx="7">
                  <c:v>0.701518866188206</c:v>
                </c:pt>
                <c:pt idx="8">
                  <c:v>0.679408838434061</c:v>
                </c:pt>
                <c:pt idx="9">
                  <c:v>0.693828339018655</c:v>
                </c:pt>
                <c:pt idx="10">
                  <c:v>0.714015093691685</c:v>
                </c:pt>
                <c:pt idx="11">
                  <c:v>0.829353335851788</c:v>
                </c:pt>
                <c:pt idx="12">
                  <c:v>0.741335114714525</c:v>
                </c:pt>
                <c:pt idx="13">
                  <c:v>0.777558691836526</c:v>
                </c:pt>
                <c:pt idx="14">
                  <c:v>0.769655236905789</c:v>
                </c:pt>
                <c:pt idx="15">
                  <c:v>0.692685234430471</c:v>
                </c:pt>
                <c:pt idx="16">
                  <c:v>0.805787272798479</c:v>
                </c:pt>
                <c:pt idx="17">
                  <c:v>0.631093794200336</c:v>
                </c:pt>
                <c:pt idx="18">
                  <c:v>0.690269162854351</c:v>
                </c:pt>
                <c:pt idx="19">
                  <c:v>0.697049065043941</c:v>
                </c:pt>
                <c:pt idx="20">
                  <c:v>0.69517695472312</c:v>
                </c:pt>
                <c:pt idx="21">
                  <c:v>0.757953803081435</c:v>
                </c:pt>
                <c:pt idx="22">
                  <c:v>0.663150812819657</c:v>
                </c:pt>
                <c:pt idx="23">
                  <c:v>0.846569350289584</c:v>
                </c:pt>
                <c:pt idx="24">
                  <c:v>0.736292798571547</c:v>
                </c:pt>
              </c:numCache>
            </c:numRef>
          </c:yVal>
          <c:smooth val="0"/>
        </c:ser>
        <c:axId val="51643090"/>
        <c:axId val="62193053"/>
      </c:scatterChart>
      <c:valAx>
        <c:axId val="516430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193053"/>
        <c:crosses val="autoZero"/>
        <c:crossBetween val="midCat"/>
      </c:valAx>
      <c:valAx>
        <c:axId val="62193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6430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0.818947298519002</c:v>
                </c:pt>
                <c:pt idx="1">
                  <c:v>0.726675054349364</c:v>
                </c:pt>
                <c:pt idx="2">
                  <c:v>0.753823763148008</c:v>
                </c:pt>
                <c:pt idx="3">
                  <c:v>0.694689160951428</c:v>
                </c:pt>
                <c:pt idx="4">
                  <c:v>0.750318975083652</c:v>
                </c:pt>
                <c:pt idx="5">
                  <c:v>0.792897506425522</c:v>
                </c:pt>
                <c:pt idx="6">
                  <c:v>0.740717063652639</c:v>
                </c:pt>
                <c:pt idx="7">
                  <c:v>0.701518866188206</c:v>
                </c:pt>
                <c:pt idx="8">
                  <c:v>0.679408838434061</c:v>
                </c:pt>
                <c:pt idx="9">
                  <c:v>0.693828339018655</c:v>
                </c:pt>
                <c:pt idx="10">
                  <c:v>0.714015093691685</c:v>
                </c:pt>
                <c:pt idx="11">
                  <c:v>0.829353335851788</c:v>
                </c:pt>
                <c:pt idx="12">
                  <c:v>0.741335114714525</c:v>
                </c:pt>
                <c:pt idx="13">
                  <c:v>0.777558691836526</c:v>
                </c:pt>
                <c:pt idx="14">
                  <c:v>0.769655236905789</c:v>
                </c:pt>
                <c:pt idx="15">
                  <c:v>0.692685234430471</c:v>
                </c:pt>
                <c:pt idx="16">
                  <c:v>0.805787272798479</c:v>
                </c:pt>
                <c:pt idx="17">
                  <c:v>0.631093794200336</c:v>
                </c:pt>
                <c:pt idx="18">
                  <c:v>0.690269162854351</c:v>
                </c:pt>
                <c:pt idx="19">
                  <c:v>0.697049065043941</c:v>
                </c:pt>
                <c:pt idx="20">
                  <c:v>0.69517695472312</c:v>
                </c:pt>
                <c:pt idx="21">
                  <c:v>0.757953803081435</c:v>
                </c:pt>
                <c:pt idx="22">
                  <c:v>0.663150812819657</c:v>
                </c:pt>
                <c:pt idx="23">
                  <c:v>0.846569350289584</c:v>
                </c:pt>
                <c:pt idx="24">
                  <c:v>0.736292798571547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56205111"/>
        <c:axId val="6867012"/>
      </c:scatterChart>
      <c:valAx>
        <c:axId val="562051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67012"/>
        <c:crosses val="autoZero"/>
        <c:crossBetween val="midCat"/>
      </c:valAx>
      <c:valAx>
        <c:axId val="6867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62051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31680</xdr:colOff>
      <xdr:row>2</xdr:row>
      <xdr:rowOff>23400</xdr:rowOff>
    </xdr:from>
    <xdr:to>
      <xdr:col>10</xdr:col>
      <xdr:colOff>93960</xdr:colOff>
      <xdr:row>22</xdr:row>
      <xdr:rowOff>6840</xdr:rowOff>
    </xdr:to>
    <xdr:graphicFrame>
      <xdr:nvGraphicFramePr>
        <xdr:cNvPr id="1" name=""/>
        <xdr:cNvGraphicFramePr/>
      </xdr:nvGraphicFramePr>
      <xdr:xfrm>
        <a:off x="2469960" y="348480"/>
        <a:ext cx="575208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36000</xdr:colOff>
      <xdr:row>5</xdr:row>
      <xdr:rowOff>15480</xdr:rowOff>
    </xdr:from>
    <xdr:to>
      <xdr:col>8</xdr:col>
      <xdr:colOff>194040</xdr:colOff>
      <xdr:row>24</xdr:row>
      <xdr:rowOff>160560</xdr:rowOff>
    </xdr:to>
    <xdr:graphicFrame>
      <xdr:nvGraphicFramePr>
        <xdr:cNvPr id="2" name=""/>
        <xdr:cNvGraphicFramePr/>
      </xdr:nvGraphicFramePr>
      <xdr:xfrm>
        <a:off x="3287160" y="828360"/>
        <a:ext cx="57614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C4:C28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2.5"/>
    <col collapsed="false" customWidth="true" hidden="false" outlineLevel="0" max="5" min="5" style="1" width="12.63"/>
    <col collapsed="false" customWidth="true" hidden="false" outlineLevel="0" max="7" min="7" style="2" width="38.57"/>
    <col collapsed="false" customWidth="true" hidden="false" outlineLevel="0" max="8" min="8" style="1" width="10.99"/>
    <col collapsed="false" customWidth="true" hidden="false" outlineLevel="0" max="12" min="9" style="1" width="19.71"/>
    <col collapsed="false" customWidth="true" hidden="false" outlineLevel="0" max="17" min="17" style="1" width="14.25"/>
    <col collapsed="false" customWidth="true" hidden="false" outlineLevel="0" max="18" min="18" style="1" width="20.79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4" t="s">
        <v>12</v>
      </c>
      <c r="Q1" s="4" t="s">
        <v>13</v>
      </c>
      <c r="R1" s="4" t="s">
        <v>14</v>
      </c>
      <c r="S1" s="5" t="s">
        <v>15</v>
      </c>
    </row>
    <row r="2" customFormat="false" ht="15" hidden="false" customHeight="false" outlineLevel="0" collapsed="false">
      <c r="G2" s="3"/>
      <c r="P2" s="6" t="n">
        <f aca="false">COUNT(K3:K115)</f>
        <v>113</v>
      </c>
      <c r="Q2" s="6" t="n">
        <f aca="false">AVERAGE(K3:K115)</f>
        <v>0.0445519943596644</v>
      </c>
      <c r="R2" s="6" t="n">
        <f aca="false">CORREL(H3:H115,K3:K115)</f>
        <v>0.0356751084490062</v>
      </c>
      <c r="S2" s="6" t="n">
        <v>0.708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0.1</v>
      </c>
      <c r="I3" s="1" t="n">
        <v>0.15280971685255</v>
      </c>
      <c r="J3" s="1" t="n">
        <v>0.217345962836453</v>
      </c>
      <c r="K3" s="1" t="n">
        <f aca="false">J3-I3</f>
        <v>0.0645362459839031</v>
      </c>
      <c r="L3" s="1" t="n">
        <v>0.818947298519002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2" t="s">
        <v>21</v>
      </c>
      <c r="H4" s="1" t="n">
        <v>0.1</v>
      </c>
      <c r="I4" s="1" t="n">
        <v>0.123102809873026</v>
      </c>
      <c r="J4" s="1" t="n">
        <v>0.218134219701349</v>
      </c>
      <c r="K4" s="1" t="n">
        <f aca="false">J4-I4</f>
        <v>0.0950314098283239</v>
      </c>
      <c r="L4" s="1" t="n">
        <v>0.726675054349364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27</v>
      </c>
      <c r="D5" s="1" t="s">
        <v>19</v>
      </c>
      <c r="E5" s="1" t="s">
        <v>20</v>
      </c>
      <c r="F5" s="1" t="n">
        <v>4</v>
      </c>
      <c r="G5" s="2" t="s">
        <v>28</v>
      </c>
      <c r="H5" s="1" t="n">
        <v>0.197</v>
      </c>
      <c r="I5" s="1" t="n">
        <v>0.23436899506315</v>
      </c>
      <c r="J5" s="1" t="n">
        <v>0.254200509737802</v>
      </c>
      <c r="K5" s="1" t="n">
        <f aca="false">J5-I5</f>
        <v>0.0198315146746519</v>
      </c>
      <c r="L5" s="1" t="n">
        <v>0.753823763148008</v>
      </c>
    </row>
    <row r="6" customFormat="false" ht="1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19</v>
      </c>
      <c r="E6" s="1" t="s">
        <v>20</v>
      </c>
      <c r="F6" s="1" t="n">
        <v>4</v>
      </c>
      <c r="G6" s="2" t="s">
        <v>29</v>
      </c>
      <c r="H6" s="1" t="n">
        <v>0.1785</v>
      </c>
      <c r="I6" s="1" t="n">
        <v>0.212366505805358</v>
      </c>
      <c r="J6" s="1" t="n">
        <v>0.219580674691994</v>
      </c>
      <c r="K6" s="1" t="n">
        <f aca="false">J6-I6</f>
        <v>0.00721416888663579</v>
      </c>
      <c r="L6" s="1" t="n">
        <v>0.753823763148008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4</v>
      </c>
      <c r="G7" s="2" t="s">
        <v>30</v>
      </c>
      <c r="H7" s="1" t="n">
        <v>0.1761</v>
      </c>
      <c r="I7" s="1" t="n">
        <v>0.209592992041943</v>
      </c>
      <c r="J7" s="1" t="n">
        <v>0.232539010639432</v>
      </c>
      <c r="K7" s="1" t="n">
        <f aca="false">J7-I7</f>
        <v>0.0229460185974896</v>
      </c>
      <c r="L7" s="1" t="n">
        <v>0.753823763148008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4</v>
      </c>
      <c r="G8" s="2" t="s">
        <v>31</v>
      </c>
      <c r="H8" s="1" t="n">
        <v>0.1751</v>
      </c>
      <c r="I8" s="1" t="n">
        <v>0.208327084229042</v>
      </c>
      <c r="J8" s="1" t="n">
        <v>0.213760201952353</v>
      </c>
      <c r="K8" s="1" t="n">
        <f aca="false">J8-I8</f>
        <v>0.00543311772331029</v>
      </c>
      <c r="L8" s="1" t="n">
        <v>0.753823763148008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27</v>
      </c>
      <c r="D9" s="1" t="s">
        <v>19</v>
      </c>
      <c r="E9" s="1" t="s">
        <v>20</v>
      </c>
      <c r="F9" s="1" t="n">
        <v>4</v>
      </c>
      <c r="G9" s="2" t="s">
        <v>32</v>
      </c>
      <c r="H9" s="1" t="n">
        <v>0.1733</v>
      </c>
      <c r="I9" s="1" t="n">
        <v>0.206235992078697</v>
      </c>
      <c r="J9" s="1" t="n">
        <v>0.237748061273769</v>
      </c>
      <c r="K9" s="1" t="n">
        <f aca="false">J9-I9</f>
        <v>0.0315120691950725</v>
      </c>
      <c r="L9" s="1" t="n">
        <v>0.753823763148008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s">
        <v>27</v>
      </c>
      <c r="D10" s="1" t="s">
        <v>19</v>
      </c>
      <c r="E10" s="1" t="s">
        <v>20</v>
      </c>
      <c r="F10" s="1" t="n">
        <v>4</v>
      </c>
      <c r="G10" s="2" t="s">
        <v>21</v>
      </c>
      <c r="H10" s="1" t="n">
        <v>0.1</v>
      </c>
      <c r="I10" s="1" t="n">
        <v>0.180917320424606</v>
      </c>
      <c r="J10" s="1" t="n">
        <v>0.233008859202663</v>
      </c>
      <c r="K10" s="1" t="n">
        <f aca="false">J10-I10</f>
        <v>0.0520915387780567</v>
      </c>
      <c r="L10" s="1" t="n">
        <v>0.753823763148008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19</v>
      </c>
      <c r="E11" s="1" t="s">
        <v>20</v>
      </c>
      <c r="F11" s="1" t="n">
        <v>6</v>
      </c>
      <c r="G11" s="2" t="s">
        <v>21</v>
      </c>
      <c r="H11" s="1" t="n">
        <v>0.1</v>
      </c>
      <c r="I11" s="1" t="n">
        <v>0.179924656402536</v>
      </c>
      <c r="J11" s="1" t="n">
        <v>0.281932286381886</v>
      </c>
      <c r="K11" s="1" t="n">
        <f aca="false">J11-I11</f>
        <v>0.10200762997935</v>
      </c>
      <c r="L11" s="1" t="n">
        <v>0.694689160951428</v>
      </c>
    </row>
    <row r="12" customFormat="false" ht="15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19</v>
      </c>
      <c r="E12" s="1" t="s">
        <v>20</v>
      </c>
      <c r="F12" s="1" t="n">
        <v>8</v>
      </c>
      <c r="G12" s="2" t="s">
        <v>28</v>
      </c>
      <c r="H12" s="1" t="n">
        <v>0.2044</v>
      </c>
      <c r="I12" s="1" t="n">
        <v>0.334025006588183</v>
      </c>
      <c r="J12" s="1" t="n">
        <v>0.306309394877169</v>
      </c>
      <c r="K12" s="1" t="n">
        <f aca="false">J12-I12</f>
        <v>-0.0277156117110145</v>
      </c>
      <c r="L12" s="1" t="n">
        <v>0.750318975083652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1" t="s">
        <v>38</v>
      </c>
      <c r="D13" s="1" t="s">
        <v>19</v>
      </c>
      <c r="E13" s="1" t="s">
        <v>20</v>
      </c>
      <c r="F13" s="1" t="n">
        <v>8</v>
      </c>
      <c r="G13" s="2" t="s">
        <v>32</v>
      </c>
      <c r="H13" s="1" t="n">
        <v>0.1639</v>
      </c>
      <c r="I13" s="1" t="n">
        <v>0.267814249012929</v>
      </c>
      <c r="J13" s="1" t="n">
        <v>0.248332294798039</v>
      </c>
      <c r="K13" s="1" t="n">
        <f aca="false">J13-I13</f>
        <v>-0.0194819542148895</v>
      </c>
      <c r="L13" s="1" t="n">
        <v>0.750318975083652</v>
      </c>
    </row>
    <row r="14" customFormat="false" ht="15" hidden="false" customHeight="false" outlineLevel="0" collapsed="false">
      <c r="A14" s="1" t="s">
        <v>36</v>
      </c>
      <c r="B14" s="1" t="s">
        <v>37</v>
      </c>
      <c r="C14" s="1" t="s">
        <v>38</v>
      </c>
      <c r="D14" s="1" t="s">
        <v>19</v>
      </c>
      <c r="E14" s="1" t="s">
        <v>20</v>
      </c>
      <c r="F14" s="1" t="n">
        <v>8</v>
      </c>
      <c r="G14" s="2" t="s">
        <v>29</v>
      </c>
      <c r="H14" s="1" t="n">
        <v>0.163</v>
      </c>
      <c r="I14" s="1" t="n">
        <v>0.266375165701804</v>
      </c>
      <c r="J14" s="1" t="n">
        <v>0.248806328510096</v>
      </c>
      <c r="K14" s="1" t="n">
        <f aca="false">J14-I14</f>
        <v>-0.0175688371917083</v>
      </c>
      <c r="L14" s="1" t="n">
        <v>0.750318975083652</v>
      </c>
    </row>
    <row r="15" customFormat="false" ht="15" hidden="false" customHeight="false" outlineLevel="0" collapsed="false">
      <c r="A15" s="1" t="s">
        <v>36</v>
      </c>
      <c r="B15" s="1" t="s">
        <v>37</v>
      </c>
      <c r="C15" s="1" t="s">
        <v>38</v>
      </c>
      <c r="D15" s="1" t="s">
        <v>19</v>
      </c>
      <c r="E15" s="1" t="s">
        <v>20</v>
      </c>
      <c r="F15" s="1" t="n">
        <v>8</v>
      </c>
      <c r="G15" s="2" t="s">
        <v>39</v>
      </c>
      <c r="H15" s="1" t="n">
        <v>0.1605</v>
      </c>
      <c r="I15" s="1" t="n">
        <v>0.262279031429762</v>
      </c>
      <c r="J15" s="1" t="n">
        <v>0.25052208017479</v>
      </c>
      <c r="K15" s="1" t="n">
        <f aca="false">J15-I15</f>
        <v>-0.011756951254972</v>
      </c>
      <c r="L15" s="1" t="n">
        <v>0.750318975083652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2" t="s">
        <v>40</v>
      </c>
      <c r="H16" s="1" t="n">
        <v>0.1556</v>
      </c>
      <c r="I16" s="1" t="n">
        <v>0.254273494565096</v>
      </c>
      <c r="J16" s="1" t="n">
        <v>0.261040412016442</v>
      </c>
      <c r="K16" s="1" t="n">
        <f aca="false">J16-I16</f>
        <v>0.00676691745134611</v>
      </c>
      <c r="L16" s="1" t="n">
        <v>0.750318975083652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2" t="s">
        <v>21</v>
      </c>
      <c r="H17" s="1" t="n">
        <v>0.1525</v>
      </c>
      <c r="I17" s="1" t="n">
        <v>0.249266399381406</v>
      </c>
      <c r="J17" s="1" t="n">
        <v>0.229904957645442</v>
      </c>
      <c r="K17" s="1" t="n">
        <f aca="false">J17-I17</f>
        <v>-0.0193614417359647</v>
      </c>
      <c r="L17" s="1" t="n">
        <v>0.750318975083652</v>
      </c>
    </row>
    <row r="18" customFormat="false" ht="15" hidden="false" customHeight="false" outlineLevel="0" collapsed="false">
      <c r="A18" s="1" t="s">
        <v>41</v>
      </c>
      <c r="B18" s="1" t="s">
        <v>42</v>
      </c>
      <c r="C18" s="1" t="s">
        <v>43</v>
      </c>
      <c r="D18" s="1" t="s">
        <v>19</v>
      </c>
      <c r="E18" s="1" t="s">
        <v>20</v>
      </c>
      <c r="F18" s="1" t="n">
        <v>10</v>
      </c>
      <c r="G18" s="2" t="s">
        <v>28</v>
      </c>
      <c r="H18" s="1" t="n">
        <v>0.9</v>
      </c>
      <c r="I18" s="1" t="n">
        <v>0.200218549270804</v>
      </c>
      <c r="J18" s="1" t="n">
        <v>0.285394280697644</v>
      </c>
      <c r="K18" s="1" t="n">
        <f aca="false">J18-I18</f>
        <v>0.0851757314268397</v>
      </c>
      <c r="L18" s="1" t="n">
        <v>0.792897506425522</v>
      </c>
    </row>
    <row r="19" customFormat="false" ht="15" hidden="false" customHeight="false" outlineLevel="0" collapsed="false">
      <c r="A19" s="1" t="s">
        <v>41</v>
      </c>
      <c r="B19" s="1" t="s">
        <v>42</v>
      </c>
      <c r="C19" s="1" t="s">
        <v>43</v>
      </c>
      <c r="D19" s="1" t="s">
        <v>19</v>
      </c>
      <c r="E19" s="1" t="s">
        <v>20</v>
      </c>
      <c r="F19" s="1" t="n">
        <v>10</v>
      </c>
      <c r="G19" s="2" t="s">
        <v>21</v>
      </c>
      <c r="H19" s="1" t="n">
        <v>0.1</v>
      </c>
      <c r="I19" s="1" t="n">
        <v>0.148311417791998</v>
      </c>
      <c r="J19" s="1" t="n">
        <v>0.255030323998369</v>
      </c>
      <c r="K19" s="1" t="n">
        <f aca="false">J19-I19</f>
        <v>0.106718906206371</v>
      </c>
      <c r="L19" s="1" t="n">
        <v>0.792897506425522</v>
      </c>
    </row>
    <row r="20" customFormat="false" ht="15" hidden="false" customHeight="false" outlineLevel="0" collapsed="false">
      <c r="A20" s="1" t="s">
        <v>44</v>
      </c>
      <c r="B20" s="1" t="s">
        <v>45</v>
      </c>
      <c r="C20" s="1" t="s">
        <v>46</v>
      </c>
      <c r="D20" s="1" t="s">
        <v>19</v>
      </c>
      <c r="E20" s="1" t="s">
        <v>20</v>
      </c>
      <c r="F20" s="1" t="n">
        <v>12</v>
      </c>
      <c r="G20" s="2" t="s">
        <v>39</v>
      </c>
      <c r="H20" s="1" t="n">
        <v>0.315</v>
      </c>
      <c r="I20" s="1" t="n">
        <v>0.228544613752293</v>
      </c>
      <c r="J20" s="1" t="n">
        <v>0.30923823883683</v>
      </c>
      <c r="K20" s="1" t="n">
        <f aca="false">J20-I20</f>
        <v>0.0806936250845378</v>
      </c>
      <c r="L20" s="1" t="n">
        <v>0.740717063652639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46</v>
      </c>
      <c r="D21" s="1" t="s">
        <v>19</v>
      </c>
      <c r="E21" s="1" t="s">
        <v>20</v>
      </c>
      <c r="F21" s="1" t="n">
        <v>12</v>
      </c>
      <c r="G21" s="2" t="s">
        <v>47</v>
      </c>
      <c r="H21" s="1" t="n">
        <v>0.2994</v>
      </c>
      <c r="I21" s="1" t="n">
        <v>0.217202556785902</v>
      </c>
      <c r="J21" s="1" t="n">
        <v>0.305973895108795</v>
      </c>
      <c r="K21" s="1" t="n">
        <f aca="false">J21-I21</f>
        <v>0.0887713383228926</v>
      </c>
      <c r="L21" s="1" t="n">
        <v>0.740717063652639</v>
      </c>
    </row>
    <row r="22" customFormat="false" ht="15" hidden="false" customHeight="false" outlineLevel="0" collapsed="false">
      <c r="A22" s="1" t="s">
        <v>44</v>
      </c>
      <c r="B22" s="1" t="s">
        <v>45</v>
      </c>
      <c r="C22" s="1" t="s">
        <v>46</v>
      </c>
      <c r="D22" s="1" t="s">
        <v>19</v>
      </c>
      <c r="E22" s="1" t="s">
        <v>20</v>
      </c>
      <c r="F22" s="1" t="n">
        <v>12</v>
      </c>
      <c r="G22" s="2" t="s">
        <v>28</v>
      </c>
      <c r="H22" s="1" t="n">
        <v>0.2856</v>
      </c>
      <c r="I22" s="1" t="n">
        <v>0.207158683583153</v>
      </c>
      <c r="J22" s="1" t="n">
        <v>0.275102550933548</v>
      </c>
      <c r="K22" s="1" t="n">
        <f aca="false">J22-I22</f>
        <v>0.0679438673503942</v>
      </c>
      <c r="L22" s="1" t="n">
        <v>0.740717063652639</v>
      </c>
    </row>
    <row r="23" customFormat="false" ht="15" hidden="false" customHeight="false" outlineLevel="0" collapsed="false">
      <c r="A23" s="1" t="s">
        <v>44</v>
      </c>
      <c r="B23" s="1" t="s">
        <v>45</v>
      </c>
      <c r="C23" s="1" t="s">
        <v>46</v>
      </c>
      <c r="D23" s="1" t="s">
        <v>19</v>
      </c>
      <c r="E23" s="1" t="s">
        <v>20</v>
      </c>
      <c r="F23" s="1" t="n">
        <v>12</v>
      </c>
      <c r="G23" s="2" t="s">
        <v>21</v>
      </c>
      <c r="H23" s="1" t="n">
        <v>0.1</v>
      </c>
      <c r="I23" s="1" t="n">
        <v>0.175882312223064</v>
      </c>
      <c r="J23" s="1" t="n">
        <v>0.254098330316038</v>
      </c>
      <c r="K23" s="1" t="n">
        <f aca="false">J23-I23</f>
        <v>0.0782160180929736</v>
      </c>
      <c r="L23" s="1" t="n">
        <v>0.740717063652639</v>
      </c>
    </row>
    <row r="24" customFormat="false" ht="15" hidden="false" customHeight="false" outlineLevel="0" collapsed="false">
      <c r="A24" s="1" t="s">
        <v>48</v>
      </c>
      <c r="B24" s="1" t="s">
        <v>49</v>
      </c>
      <c r="C24" s="1" t="s">
        <v>50</v>
      </c>
      <c r="D24" s="1" t="s">
        <v>19</v>
      </c>
      <c r="E24" s="1" t="s">
        <v>20</v>
      </c>
      <c r="F24" s="1" t="n">
        <v>14</v>
      </c>
      <c r="G24" s="2" t="s">
        <v>39</v>
      </c>
      <c r="H24" s="1" t="n">
        <v>0.2397</v>
      </c>
      <c r="I24" s="1" t="n">
        <v>0.231170444407723</v>
      </c>
      <c r="J24" s="1" t="n">
        <v>0.275565616798867</v>
      </c>
      <c r="K24" s="1" t="n">
        <f aca="false">J24-I24</f>
        <v>0.0443951723911446</v>
      </c>
      <c r="L24" s="1" t="n">
        <v>0.701518866188206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19</v>
      </c>
      <c r="E25" s="1" t="s">
        <v>20</v>
      </c>
      <c r="F25" s="1" t="n">
        <v>14</v>
      </c>
      <c r="G25" s="2" t="s">
        <v>47</v>
      </c>
      <c r="H25" s="1" t="n">
        <v>0.2312</v>
      </c>
      <c r="I25" s="1" t="n">
        <v>0.222979444872446</v>
      </c>
      <c r="J25" s="1" t="n">
        <v>0.247069470368326</v>
      </c>
      <c r="K25" s="1" t="n">
        <f aca="false">J25-I25</f>
        <v>0.0240900254958803</v>
      </c>
      <c r="L25" s="1" t="n">
        <v>0.701518866188206</v>
      </c>
    </row>
    <row r="26" customFormat="false" ht="15" hidden="false" customHeight="false" outlineLevel="0" collapsed="false">
      <c r="A26" s="1" t="s">
        <v>48</v>
      </c>
      <c r="B26" s="1" t="s">
        <v>49</v>
      </c>
      <c r="C26" s="1" t="s">
        <v>50</v>
      </c>
      <c r="D26" s="1" t="s">
        <v>19</v>
      </c>
      <c r="E26" s="1" t="s">
        <v>20</v>
      </c>
      <c r="F26" s="1" t="n">
        <v>14</v>
      </c>
      <c r="G26" s="2" t="s">
        <v>28</v>
      </c>
      <c r="H26" s="1" t="n">
        <v>0.2204</v>
      </c>
      <c r="I26" s="1" t="n">
        <v>0.212608312839948</v>
      </c>
      <c r="J26" s="1" t="n">
        <v>0.27173231260131</v>
      </c>
      <c r="K26" s="1" t="n">
        <f aca="false">J26-I26</f>
        <v>0.0591239997613613</v>
      </c>
      <c r="L26" s="1" t="n">
        <v>0.701518866188206</v>
      </c>
    </row>
    <row r="27" customFormat="false" ht="15" hidden="false" customHeight="false" outlineLevel="0" collapsed="false">
      <c r="A27" s="1" t="s">
        <v>48</v>
      </c>
      <c r="B27" s="1" t="s">
        <v>49</v>
      </c>
      <c r="C27" s="1" t="s">
        <v>50</v>
      </c>
      <c r="D27" s="1" t="s">
        <v>19</v>
      </c>
      <c r="E27" s="1" t="s">
        <v>20</v>
      </c>
      <c r="F27" s="1" t="n">
        <v>14</v>
      </c>
      <c r="G27" s="2" t="s">
        <v>51</v>
      </c>
      <c r="H27" s="1" t="n">
        <v>0.2087</v>
      </c>
      <c r="I27" s="1" t="n">
        <v>0.201303091204161</v>
      </c>
      <c r="J27" s="1" t="n">
        <v>0.231311776671483</v>
      </c>
      <c r="K27" s="1" t="n">
        <f aca="false">J27-I27</f>
        <v>0.030008685467322</v>
      </c>
      <c r="L27" s="1" t="n">
        <v>0.701518866188206</v>
      </c>
    </row>
    <row r="28" customFormat="false" ht="15" hidden="false" customHeight="false" outlineLevel="0" collapsed="false">
      <c r="A28" s="1" t="s">
        <v>48</v>
      </c>
      <c r="B28" s="1" t="s">
        <v>49</v>
      </c>
      <c r="C28" s="1" t="s">
        <v>50</v>
      </c>
      <c r="D28" s="1" t="s">
        <v>19</v>
      </c>
      <c r="E28" s="1" t="s">
        <v>20</v>
      </c>
      <c r="F28" s="1" t="n">
        <v>14</v>
      </c>
      <c r="G28" s="2" t="s">
        <v>21</v>
      </c>
      <c r="H28" s="1" t="n">
        <v>0.1</v>
      </c>
      <c r="I28" s="1" t="n">
        <v>0.183071401258764</v>
      </c>
      <c r="J28" s="1" t="n">
        <v>0.225497783915206</v>
      </c>
      <c r="K28" s="1" t="n">
        <f aca="false">J28-I28</f>
        <v>0.0424263826564421</v>
      </c>
      <c r="L28" s="1" t="n">
        <v>0.701518866188206</v>
      </c>
    </row>
    <row r="29" customFormat="false" ht="15" hidden="false" customHeight="false" outlineLevel="0" collapsed="false">
      <c r="A29" s="1" t="s">
        <v>52</v>
      </c>
      <c r="B29" s="1" t="s">
        <v>53</v>
      </c>
      <c r="C29" s="1" t="s">
        <v>54</v>
      </c>
      <c r="D29" s="1" t="s">
        <v>19</v>
      </c>
      <c r="E29" s="1" t="s">
        <v>20</v>
      </c>
      <c r="F29" s="1" t="n">
        <v>16</v>
      </c>
      <c r="G29" s="2" t="s">
        <v>21</v>
      </c>
      <c r="H29" s="1" t="n">
        <v>0.1</v>
      </c>
      <c r="I29" s="1" t="n">
        <v>0.155786673568413</v>
      </c>
      <c r="J29" s="1" t="n">
        <v>0.23123328031755</v>
      </c>
      <c r="K29" s="1" t="n">
        <f aca="false">J29-I29</f>
        <v>0.0754466067491369</v>
      </c>
      <c r="L29" s="1" t="n">
        <v>0.679408838434061</v>
      </c>
    </row>
    <row r="30" customFormat="false" ht="15" hidden="false" customHeight="false" outlineLevel="0" collapsed="false">
      <c r="A30" s="1" t="s">
        <v>55</v>
      </c>
      <c r="B30" s="1" t="s">
        <v>56</v>
      </c>
      <c r="C30" s="1" t="s">
        <v>57</v>
      </c>
      <c r="D30" s="1" t="s">
        <v>19</v>
      </c>
      <c r="E30" s="1" t="s">
        <v>20</v>
      </c>
      <c r="F30" s="1" t="n">
        <v>18</v>
      </c>
      <c r="G30" s="2" t="s">
        <v>28</v>
      </c>
      <c r="H30" s="1" t="n">
        <v>0.2077</v>
      </c>
      <c r="I30" s="1" t="n">
        <v>0.354122124022833</v>
      </c>
      <c r="J30" s="1" t="n">
        <v>0.328207487249223</v>
      </c>
      <c r="K30" s="1" t="n">
        <f aca="false">J30-I30</f>
        <v>-0.0259146367736095</v>
      </c>
      <c r="L30" s="1" t="n">
        <v>0.693828339018655</v>
      </c>
    </row>
    <row r="31" customFormat="false" ht="15" hidden="false" customHeight="false" outlineLevel="0" collapsed="false">
      <c r="A31" s="1" t="s">
        <v>55</v>
      </c>
      <c r="B31" s="1" t="s">
        <v>56</v>
      </c>
      <c r="C31" s="1" t="s">
        <v>57</v>
      </c>
      <c r="D31" s="1" t="s">
        <v>19</v>
      </c>
      <c r="E31" s="1" t="s">
        <v>20</v>
      </c>
      <c r="F31" s="1" t="n">
        <v>18</v>
      </c>
      <c r="G31" s="2" t="s">
        <v>39</v>
      </c>
      <c r="H31" s="1" t="n">
        <v>0.1701</v>
      </c>
      <c r="I31" s="1" t="n">
        <v>0.290022750440656</v>
      </c>
      <c r="J31" s="1" t="n">
        <v>0.285281356855277</v>
      </c>
      <c r="K31" s="1" t="n">
        <f aca="false">J31-I31</f>
        <v>-0.00474139358537901</v>
      </c>
      <c r="L31" s="1" t="n">
        <v>0.693828339018655</v>
      </c>
    </row>
    <row r="32" customFormat="false" ht="15" hidden="false" customHeight="false" outlineLevel="0" collapsed="false">
      <c r="A32" s="1" t="s">
        <v>55</v>
      </c>
      <c r="B32" s="1" t="s">
        <v>56</v>
      </c>
      <c r="C32" s="1" t="s">
        <v>57</v>
      </c>
      <c r="D32" s="1" t="s">
        <v>19</v>
      </c>
      <c r="E32" s="1" t="s">
        <v>20</v>
      </c>
      <c r="F32" s="1" t="n">
        <v>18</v>
      </c>
      <c r="G32" s="2" t="s">
        <v>31</v>
      </c>
      <c r="H32" s="1" t="n">
        <v>0.1598</v>
      </c>
      <c r="I32" s="1" t="n">
        <v>0.272501018205914</v>
      </c>
      <c r="J32" s="1" t="n">
        <v>0.264990067799278</v>
      </c>
      <c r="K32" s="1" t="n">
        <f aca="false">J32-I32</f>
        <v>-0.00751095040663546</v>
      </c>
      <c r="L32" s="1" t="n">
        <v>0.693828339018655</v>
      </c>
    </row>
    <row r="33" customFormat="false" ht="15" hidden="false" customHeight="false" outlineLevel="0" collapsed="false">
      <c r="A33" s="1" t="s">
        <v>55</v>
      </c>
      <c r="B33" s="1" t="s">
        <v>56</v>
      </c>
      <c r="C33" s="1" t="s">
        <v>57</v>
      </c>
      <c r="D33" s="1" t="s">
        <v>19</v>
      </c>
      <c r="E33" s="1" t="s">
        <v>20</v>
      </c>
      <c r="F33" s="1" t="n">
        <v>18</v>
      </c>
      <c r="G33" s="2" t="s">
        <v>21</v>
      </c>
      <c r="H33" s="1" t="n">
        <v>0.1574</v>
      </c>
      <c r="I33" s="1" t="n">
        <v>0.268317734387838</v>
      </c>
      <c r="J33" s="1" t="n">
        <v>0.272484718504688</v>
      </c>
      <c r="K33" s="1" t="n">
        <f aca="false">J33-I33</f>
        <v>0.00416698411685035</v>
      </c>
      <c r="L33" s="1" t="n">
        <v>0.693828339018655</v>
      </c>
    </row>
    <row r="34" customFormat="false" ht="15" hidden="false" customHeight="false" outlineLevel="0" collapsed="false">
      <c r="A34" s="1" t="s">
        <v>55</v>
      </c>
      <c r="B34" s="1" t="s">
        <v>56</v>
      </c>
      <c r="C34" s="1" t="s">
        <v>57</v>
      </c>
      <c r="D34" s="1" t="s">
        <v>19</v>
      </c>
      <c r="E34" s="1" t="s">
        <v>20</v>
      </c>
      <c r="F34" s="1" t="n">
        <v>18</v>
      </c>
      <c r="G34" s="2" t="s">
        <v>47</v>
      </c>
      <c r="H34" s="1" t="n">
        <v>0.1528</v>
      </c>
      <c r="I34" s="1" t="n">
        <v>0.260630786403472</v>
      </c>
      <c r="J34" s="1" t="n">
        <v>0.280297293153154</v>
      </c>
      <c r="K34" s="1" t="n">
        <f aca="false">J34-I34</f>
        <v>0.0196665067496823</v>
      </c>
      <c r="L34" s="1" t="n">
        <v>0.693828339018655</v>
      </c>
    </row>
    <row r="35" customFormat="false" ht="15" hidden="false" customHeight="false" outlineLevel="0" collapsed="false">
      <c r="A35" s="1" t="s">
        <v>55</v>
      </c>
      <c r="B35" s="1" t="s">
        <v>56</v>
      </c>
      <c r="C35" s="1" t="s">
        <v>57</v>
      </c>
      <c r="D35" s="1" t="s">
        <v>19</v>
      </c>
      <c r="E35" s="1" t="s">
        <v>20</v>
      </c>
      <c r="F35" s="1" t="n">
        <v>18</v>
      </c>
      <c r="G35" s="2" t="s">
        <v>32</v>
      </c>
      <c r="H35" s="1" t="n">
        <v>0.1523</v>
      </c>
      <c r="I35" s="1" t="n">
        <v>0.259624168705823</v>
      </c>
      <c r="J35" s="1" t="n">
        <v>0.278188163800401</v>
      </c>
      <c r="K35" s="1" t="n">
        <f aca="false">J35-I35</f>
        <v>0.0185639950945773</v>
      </c>
      <c r="L35" s="1" t="n">
        <v>0.693828339018655</v>
      </c>
    </row>
    <row r="36" customFormat="false" ht="15" hidden="false" customHeight="false" outlineLevel="0" collapsed="false">
      <c r="A36" s="1" t="s">
        <v>58</v>
      </c>
      <c r="B36" s="1" t="s">
        <v>59</v>
      </c>
      <c r="C36" s="1" t="s">
        <v>60</v>
      </c>
      <c r="D36" s="1" t="s">
        <v>19</v>
      </c>
      <c r="E36" s="1" t="s">
        <v>20</v>
      </c>
      <c r="F36" s="1" t="n">
        <v>20</v>
      </c>
      <c r="G36" s="2" t="s">
        <v>28</v>
      </c>
      <c r="H36" s="1" t="n">
        <v>0.2524</v>
      </c>
      <c r="I36" s="1" t="n">
        <v>0.255800836002884</v>
      </c>
      <c r="J36" s="1" t="n">
        <v>0.347072468123167</v>
      </c>
      <c r="K36" s="1" t="n">
        <f aca="false">J36-I36</f>
        <v>0.0912716321202827</v>
      </c>
      <c r="L36" s="1" t="n">
        <v>0.714015093691685</v>
      </c>
    </row>
    <row r="37" customFormat="false" ht="15" hidden="false" customHeight="false" outlineLevel="0" collapsed="false">
      <c r="A37" s="1" t="s">
        <v>58</v>
      </c>
      <c r="B37" s="1" t="s">
        <v>59</v>
      </c>
      <c r="C37" s="1" t="s">
        <v>60</v>
      </c>
      <c r="D37" s="1" t="s">
        <v>19</v>
      </c>
      <c r="E37" s="1" t="s">
        <v>20</v>
      </c>
      <c r="F37" s="1" t="n">
        <v>20</v>
      </c>
      <c r="G37" s="2" t="s">
        <v>39</v>
      </c>
      <c r="H37" s="1" t="n">
        <v>0.2339</v>
      </c>
      <c r="I37" s="1" t="n">
        <v>0.237058376255701</v>
      </c>
      <c r="J37" s="1" t="n">
        <v>0.36568721199314</v>
      </c>
      <c r="K37" s="1" t="n">
        <f aca="false">J37-I37</f>
        <v>0.128628835737439</v>
      </c>
      <c r="L37" s="1" t="n">
        <v>0.714015093691685</v>
      </c>
    </row>
    <row r="38" customFormat="false" ht="15" hidden="false" customHeight="false" outlineLevel="0" collapsed="false">
      <c r="A38" s="1" t="s">
        <v>58</v>
      </c>
      <c r="B38" s="1" t="s">
        <v>59</v>
      </c>
      <c r="C38" s="1" t="s">
        <v>60</v>
      </c>
      <c r="D38" s="1" t="s">
        <v>19</v>
      </c>
      <c r="E38" s="1" t="s">
        <v>20</v>
      </c>
      <c r="F38" s="1" t="n">
        <v>20</v>
      </c>
      <c r="G38" s="2" t="s">
        <v>32</v>
      </c>
      <c r="H38" s="1" t="n">
        <v>0.2125</v>
      </c>
      <c r="I38" s="1" t="n">
        <v>0.215432682669104</v>
      </c>
      <c r="J38" s="1" t="n">
        <v>0.296507374530004</v>
      </c>
      <c r="K38" s="1" t="n">
        <f aca="false">J38-I38</f>
        <v>0.0810746918608998</v>
      </c>
      <c r="L38" s="1" t="n">
        <v>0.714015093691685</v>
      </c>
    </row>
    <row r="39" customFormat="false" ht="15" hidden="false" customHeight="false" outlineLevel="0" collapsed="false">
      <c r="A39" s="1" t="s">
        <v>58</v>
      </c>
      <c r="B39" s="1" t="s">
        <v>59</v>
      </c>
      <c r="C39" s="1" t="s">
        <v>60</v>
      </c>
      <c r="D39" s="1" t="s">
        <v>19</v>
      </c>
      <c r="E39" s="1" t="s">
        <v>20</v>
      </c>
      <c r="F39" s="1" t="n">
        <v>20</v>
      </c>
      <c r="G39" s="2" t="s">
        <v>47</v>
      </c>
      <c r="H39" s="1" t="n">
        <v>0.2012</v>
      </c>
      <c r="I39" s="1" t="n">
        <v>0.203991274380851</v>
      </c>
      <c r="J39" s="1" t="n">
        <v>0.275365921552103</v>
      </c>
      <c r="K39" s="1" t="n">
        <f aca="false">J39-I39</f>
        <v>0.0713746471712518</v>
      </c>
      <c r="L39" s="1" t="n">
        <v>0.714015093691685</v>
      </c>
    </row>
    <row r="40" customFormat="false" ht="15" hidden="false" customHeight="false" outlineLevel="0" collapsed="false">
      <c r="A40" s="1" t="s">
        <v>58</v>
      </c>
      <c r="B40" s="1" t="s">
        <v>59</v>
      </c>
      <c r="C40" s="1" t="s">
        <v>60</v>
      </c>
      <c r="D40" s="1" t="s">
        <v>19</v>
      </c>
      <c r="E40" s="1" t="s">
        <v>20</v>
      </c>
      <c r="F40" s="1" t="n">
        <v>20</v>
      </c>
      <c r="G40" s="2" t="s">
        <v>21</v>
      </c>
      <c r="H40" s="1" t="n">
        <v>0.1</v>
      </c>
      <c r="I40" s="1" t="n">
        <v>0.162197837953537</v>
      </c>
      <c r="J40" s="1" t="n">
        <v>0.265991433300953</v>
      </c>
      <c r="K40" s="1" t="n">
        <f aca="false">J40-I40</f>
        <v>0.103793595347416</v>
      </c>
      <c r="L40" s="1" t="n">
        <v>0.714015093691685</v>
      </c>
    </row>
    <row r="41" customFormat="false" ht="15" hidden="false" customHeight="false" outlineLevel="0" collapsed="false">
      <c r="A41" s="1" t="s">
        <v>61</v>
      </c>
      <c r="B41" s="1" t="s">
        <v>62</v>
      </c>
      <c r="C41" s="1" t="s">
        <v>63</v>
      </c>
      <c r="D41" s="1" t="s">
        <v>19</v>
      </c>
      <c r="E41" s="1" t="s">
        <v>20</v>
      </c>
      <c r="F41" s="1" t="n">
        <v>22</v>
      </c>
      <c r="G41" s="2" t="s">
        <v>39</v>
      </c>
      <c r="H41" s="1" t="n">
        <v>0.2462</v>
      </c>
      <c r="I41" s="1" t="n">
        <v>0.284389140521131</v>
      </c>
      <c r="J41" s="1" t="n">
        <v>0.372771373551485</v>
      </c>
      <c r="K41" s="1" t="n">
        <f aca="false">J41-I41</f>
        <v>0.0883822330303543</v>
      </c>
      <c r="L41" s="1" t="n">
        <v>0.829353335851788</v>
      </c>
    </row>
    <row r="42" customFormat="false" ht="15" hidden="false" customHeight="false" outlineLevel="0" collapsed="false">
      <c r="A42" s="1" t="s">
        <v>61</v>
      </c>
      <c r="B42" s="1" t="s">
        <v>62</v>
      </c>
      <c r="C42" s="1" t="s">
        <v>63</v>
      </c>
      <c r="D42" s="1" t="s">
        <v>19</v>
      </c>
      <c r="E42" s="1" t="s">
        <v>20</v>
      </c>
      <c r="F42" s="1" t="n">
        <v>22</v>
      </c>
      <c r="G42" s="2" t="s">
        <v>21</v>
      </c>
      <c r="H42" s="1" t="n">
        <v>0.1925</v>
      </c>
      <c r="I42" s="1" t="n">
        <v>0.222402807301708</v>
      </c>
      <c r="J42" s="1" t="n">
        <v>0.288097988288858</v>
      </c>
      <c r="K42" s="1" t="n">
        <f aca="false">J42-I42</f>
        <v>0.0656951809871497</v>
      </c>
      <c r="L42" s="1" t="n">
        <v>0.829353335851788</v>
      </c>
    </row>
    <row r="43" customFormat="false" ht="15" hidden="false" customHeight="false" outlineLevel="0" collapsed="false">
      <c r="A43" s="1" t="s">
        <v>61</v>
      </c>
      <c r="B43" s="1" t="s">
        <v>62</v>
      </c>
      <c r="C43" s="1" t="s">
        <v>63</v>
      </c>
      <c r="D43" s="1" t="s">
        <v>19</v>
      </c>
      <c r="E43" s="1" t="s">
        <v>20</v>
      </c>
      <c r="F43" s="1" t="n">
        <v>22</v>
      </c>
      <c r="G43" s="2" t="s">
        <v>47</v>
      </c>
      <c r="H43" s="1" t="n">
        <v>0.1922</v>
      </c>
      <c r="I43" s="1" t="n">
        <v>0.222028956787895</v>
      </c>
      <c r="J43" s="1" t="n">
        <v>0.292921354881721</v>
      </c>
      <c r="K43" s="1" t="n">
        <f aca="false">J43-I43</f>
        <v>0.0708923980938269</v>
      </c>
      <c r="L43" s="1" t="n">
        <v>0.829353335851788</v>
      </c>
    </row>
    <row r="44" customFormat="false" ht="15" hidden="false" customHeight="false" outlineLevel="0" collapsed="false">
      <c r="A44" s="1" t="s">
        <v>61</v>
      </c>
      <c r="B44" s="1" t="s">
        <v>62</v>
      </c>
      <c r="C44" s="1" t="s">
        <v>63</v>
      </c>
      <c r="D44" s="1" t="s">
        <v>19</v>
      </c>
      <c r="E44" s="1" t="s">
        <v>20</v>
      </c>
      <c r="F44" s="1" t="n">
        <v>22</v>
      </c>
      <c r="G44" s="2" t="s">
        <v>28</v>
      </c>
      <c r="H44" s="1" t="n">
        <v>0.1855</v>
      </c>
      <c r="I44" s="1" t="n">
        <v>0.214316312508301</v>
      </c>
      <c r="J44" s="1" t="n">
        <v>0.292942684694281</v>
      </c>
      <c r="K44" s="1" t="n">
        <f aca="false">J44-I44</f>
        <v>0.0786263721859807</v>
      </c>
      <c r="L44" s="1" t="n">
        <v>0.829353335851788</v>
      </c>
    </row>
    <row r="45" customFormat="false" ht="15" hidden="false" customHeight="false" outlineLevel="0" collapsed="false">
      <c r="A45" s="1" t="s">
        <v>61</v>
      </c>
      <c r="B45" s="1" t="s">
        <v>62</v>
      </c>
      <c r="C45" s="1" t="s">
        <v>63</v>
      </c>
      <c r="D45" s="1" t="s">
        <v>19</v>
      </c>
      <c r="E45" s="1" t="s">
        <v>20</v>
      </c>
      <c r="F45" s="1" t="n">
        <v>22</v>
      </c>
      <c r="G45" s="2" t="s">
        <v>31</v>
      </c>
      <c r="H45" s="1" t="n">
        <v>0.1835</v>
      </c>
      <c r="I45" s="1" t="n">
        <v>0.212006109817576</v>
      </c>
      <c r="J45" s="1" t="n">
        <v>0.252160522027687</v>
      </c>
      <c r="K45" s="1" t="n">
        <f aca="false">J45-I45</f>
        <v>0.0401544122101113</v>
      </c>
      <c r="L45" s="1" t="n">
        <v>0.829353335851788</v>
      </c>
    </row>
    <row r="46" customFormat="false" ht="15" hidden="false" customHeight="false" outlineLevel="0" collapsed="false">
      <c r="A46" s="1" t="s">
        <v>64</v>
      </c>
      <c r="B46" s="1" t="s">
        <v>65</v>
      </c>
      <c r="C46" s="1" t="s">
        <v>66</v>
      </c>
      <c r="D46" s="1" t="s">
        <v>19</v>
      </c>
      <c r="E46" s="1" t="s">
        <v>20</v>
      </c>
      <c r="F46" s="1" t="n">
        <v>24</v>
      </c>
      <c r="G46" s="2" t="s">
        <v>39</v>
      </c>
      <c r="H46" s="1" t="n">
        <v>0.2022</v>
      </c>
      <c r="I46" s="1" t="n">
        <v>0.258512476207764</v>
      </c>
      <c r="J46" s="1" t="n">
        <v>0.323710857805</v>
      </c>
      <c r="K46" s="1" t="n">
        <f aca="false">J46-I46</f>
        <v>0.0651983815972356</v>
      </c>
      <c r="L46" s="1" t="n">
        <v>0.741335114714525</v>
      </c>
    </row>
    <row r="47" customFormat="false" ht="15" hidden="false" customHeight="false" outlineLevel="0" collapsed="false">
      <c r="A47" s="1" t="s">
        <v>64</v>
      </c>
      <c r="B47" s="1" t="s">
        <v>65</v>
      </c>
      <c r="C47" s="1" t="s">
        <v>66</v>
      </c>
      <c r="D47" s="1" t="s">
        <v>19</v>
      </c>
      <c r="E47" s="1" t="s">
        <v>20</v>
      </c>
      <c r="F47" s="1" t="n">
        <v>24</v>
      </c>
      <c r="G47" s="2" t="s">
        <v>47</v>
      </c>
      <c r="H47" s="1" t="n">
        <v>0.1861</v>
      </c>
      <c r="I47" s="1" t="n">
        <v>0.237898180188731</v>
      </c>
      <c r="J47" s="1" t="n">
        <v>0.30617196203927</v>
      </c>
      <c r="K47" s="1" t="n">
        <f aca="false">J47-I47</f>
        <v>0.0682737818505391</v>
      </c>
      <c r="L47" s="1" t="n">
        <v>0.741335114714525</v>
      </c>
    </row>
    <row r="48" customFormat="false" ht="15" hidden="false" customHeight="false" outlineLevel="0" collapsed="false">
      <c r="A48" s="1" t="s">
        <v>64</v>
      </c>
      <c r="B48" s="1" t="s">
        <v>65</v>
      </c>
      <c r="C48" s="1" t="s">
        <v>66</v>
      </c>
      <c r="D48" s="1" t="s">
        <v>19</v>
      </c>
      <c r="E48" s="1" t="s">
        <v>20</v>
      </c>
      <c r="F48" s="1" t="n">
        <v>24</v>
      </c>
      <c r="G48" s="2" t="s">
        <v>28</v>
      </c>
      <c r="H48" s="1" t="n">
        <v>0.1755</v>
      </c>
      <c r="I48" s="1" t="n">
        <v>0.224448530451009</v>
      </c>
      <c r="J48" s="1" t="n">
        <v>0.328237696522115</v>
      </c>
      <c r="K48" s="1" t="n">
        <f aca="false">J48-I48</f>
        <v>0.103789166071106</v>
      </c>
      <c r="L48" s="1" t="n">
        <v>0.741335114714525</v>
      </c>
    </row>
    <row r="49" customFormat="false" ht="15" hidden="false" customHeight="false" outlineLevel="0" collapsed="false">
      <c r="A49" s="1" t="s">
        <v>64</v>
      </c>
      <c r="B49" s="1" t="s">
        <v>65</v>
      </c>
      <c r="C49" s="1" t="s">
        <v>66</v>
      </c>
      <c r="D49" s="1" t="s">
        <v>19</v>
      </c>
      <c r="E49" s="1" t="s">
        <v>20</v>
      </c>
      <c r="F49" s="1" t="n">
        <v>24</v>
      </c>
      <c r="G49" s="2" t="s">
        <v>30</v>
      </c>
      <c r="H49" s="1" t="n">
        <v>0.172</v>
      </c>
      <c r="I49" s="1" t="n">
        <v>0.219974138502662</v>
      </c>
      <c r="J49" s="1" t="n">
        <v>0.333079045526812</v>
      </c>
      <c r="K49" s="1" t="n">
        <f aca="false">J49-I49</f>
        <v>0.11310490702415</v>
      </c>
      <c r="L49" s="1" t="n">
        <v>0.741335114714525</v>
      </c>
    </row>
    <row r="50" customFormat="false" ht="15" hidden="false" customHeight="false" outlineLevel="0" collapsed="false">
      <c r="A50" s="1" t="s">
        <v>64</v>
      </c>
      <c r="B50" s="1" t="s">
        <v>65</v>
      </c>
      <c r="C50" s="1" t="s">
        <v>66</v>
      </c>
      <c r="D50" s="1" t="s">
        <v>19</v>
      </c>
      <c r="E50" s="1" t="s">
        <v>20</v>
      </c>
      <c r="F50" s="1" t="n">
        <v>24</v>
      </c>
      <c r="G50" s="2" t="s">
        <v>51</v>
      </c>
      <c r="H50" s="1" t="n">
        <v>0.1642</v>
      </c>
      <c r="I50" s="1" t="n">
        <v>0.209948874761955</v>
      </c>
      <c r="J50" s="1" t="n">
        <v>0.302316692199481</v>
      </c>
      <c r="K50" s="1" t="n">
        <f aca="false">J50-I50</f>
        <v>0.0923678174375261</v>
      </c>
      <c r="L50" s="1" t="n">
        <v>0.741335114714525</v>
      </c>
    </row>
    <row r="51" customFormat="false" ht="15" hidden="false" customHeight="false" outlineLevel="0" collapsed="false">
      <c r="A51" s="1" t="s">
        <v>64</v>
      </c>
      <c r="B51" s="1" t="s">
        <v>65</v>
      </c>
      <c r="C51" s="1" t="s">
        <v>66</v>
      </c>
      <c r="D51" s="1" t="s">
        <v>19</v>
      </c>
      <c r="E51" s="1" t="s">
        <v>20</v>
      </c>
      <c r="F51" s="1" t="n">
        <v>24</v>
      </c>
      <c r="G51" s="2" t="s">
        <v>21</v>
      </c>
      <c r="H51" s="1" t="n">
        <v>0.1</v>
      </c>
      <c r="I51" s="1" t="n">
        <v>0.196821912990258</v>
      </c>
      <c r="J51" s="1" t="n">
        <v>0.277461936431395</v>
      </c>
      <c r="K51" s="1" t="n">
        <f aca="false">J51-I51</f>
        <v>0.0806400234411372</v>
      </c>
      <c r="L51" s="1" t="n">
        <v>0.741335114714525</v>
      </c>
    </row>
    <row r="52" customFormat="false" ht="15" hidden="false" customHeight="false" outlineLevel="0" collapsed="false">
      <c r="A52" s="1" t="s">
        <v>67</v>
      </c>
      <c r="B52" s="1" t="s">
        <v>68</v>
      </c>
      <c r="C52" s="1" t="s">
        <v>69</v>
      </c>
      <c r="D52" s="1" t="s">
        <v>19</v>
      </c>
      <c r="E52" s="1" t="s">
        <v>20</v>
      </c>
      <c r="F52" s="1" t="n">
        <v>26</v>
      </c>
      <c r="G52" s="2" t="s">
        <v>28</v>
      </c>
      <c r="H52" s="1" t="n">
        <v>0.2563</v>
      </c>
      <c r="I52" s="1" t="n">
        <v>0.252079726428436</v>
      </c>
      <c r="J52" s="1" t="n">
        <v>0.342311846806314</v>
      </c>
      <c r="K52" s="1" t="n">
        <f aca="false">J52-I52</f>
        <v>0.090232120377878</v>
      </c>
      <c r="L52" s="1" t="n">
        <v>0.777558691836526</v>
      </c>
    </row>
    <row r="53" customFormat="false" ht="15" hidden="false" customHeight="false" outlineLevel="0" collapsed="false">
      <c r="A53" s="1" t="s">
        <v>67</v>
      </c>
      <c r="B53" s="1" t="s">
        <v>68</v>
      </c>
      <c r="C53" s="1" t="s">
        <v>69</v>
      </c>
      <c r="D53" s="1" t="s">
        <v>19</v>
      </c>
      <c r="E53" s="1" t="s">
        <v>20</v>
      </c>
      <c r="F53" s="1" t="n">
        <v>26</v>
      </c>
      <c r="G53" s="2" t="s">
        <v>40</v>
      </c>
      <c r="H53" s="1" t="n">
        <v>0.2294</v>
      </c>
      <c r="I53" s="1" t="n">
        <v>0.225566524781795</v>
      </c>
      <c r="J53" s="1" t="n">
        <v>0.29406602320056</v>
      </c>
      <c r="K53" s="1" t="n">
        <f aca="false">J53-I53</f>
        <v>0.0684994984187649</v>
      </c>
      <c r="L53" s="1" t="n">
        <v>0.777558691836526</v>
      </c>
    </row>
    <row r="54" customFormat="false" ht="15" hidden="false" customHeight="false" outlineLevel="0" collapsed="false">
      <c r="A54" s="1" t="s">
        <v>67</v>
      </c>
      <c r="B54" s="1" t="s">
        <v>68</v>
      </c>
      <c r="C54" s="1" t="s">
        <v>69</v>
      </c>
      <c r="D54" s="1" t="s">
        <v>19</v>
      </c>
      <c r="E54" s="1" t="s">
        <v>20</v>
      </c>
      <c r="F54" s="1" t="n">
        <v>26</v>
      </c>
      <c r="G54" s="2" t="s">
        <v>30</v>
      </c>
      <c r="H54" s="1" t="n">
        <v>0.2107</v>
      </c>
      <c r="I54" s="1" t="n">
        <v>0.207237652927475</v>
      </c>
      <c r="J54" s="1" t="n">
        <v>0.247065679307894</v>
      </c>
      <c r="K54" s="1" t="n">
        <f aca="false">J54-I54</f>
        <v>0.0398280263804189</v>
      </c>
      <c r="L54" s="1" t="n">
        <v>0.777558691836526</v>
      </c>
    </row>
    <row r="55" customFormat="false" ht="15" hidden="false" customHeight="false" outlineLevel="0" collapsed="false">
      <c r="A55" s="1" t="s">
        <v>67</v>
      </c>
      <c r="B55" s="1" t="s">
        <v>68</v>
      </c>
      <c r="C55" s="1" t="s">
        <v>69</v>
      </c>
      <c r="D55" s="1" t="s">
        <v>19</v>
      </c>
      <c r="E55" s="1" t="s">
        <v>20</v>
      </c>
      <c r="F55" s="1" t="n">
        <v>26</v>
      </c>
      <c r="G55" s="2" t="s">
        <v>31</v>
      </c>
      <c r="H55" s="1" t="n">
        <v>0.2036</v>
      </c>
      <c r="I55" s="1" t="n">
        <v>0.200258461255056</v>
      </c>
      <c r="J55" s="1" t="n">
        <v>0.25947727321273</v>
      </c>
      <c r="K55" s="1" t="n">
        <f aca="false">J55-I55</f>
        <v>0.0592188119576742</v>
      </c>
      <c r="L55" s="1" t="n">
        <v>0.777558691836526</v>
      </c>
    </row>
    <row r="56" customFormat="false" ht="15" hidden="false" customHeight="false" outlineLevel="0" collapsed="false">
      <c r="A56" s="1" t="s">
        <v>67</v>
      </c>
      <c r="B56" s="1" t="s">
        <v>68</v>
      </c>
      <c r="C56" s="1" t="s">
        <v>69</v>
      </c>
      <c r="D56" s="1" t="s">
        <v>19</v>
      </c>
      <c r="E56" s="1" t="s">
        <v>20</v>
      </c>
      <c r="F56" s="1" t="n">
        <v>26</v>
      </c>
      <c r="G56" s="2" t="s">
        <v>21</v>
      </c>
      <c r="H56" s="1" t="n">
        <v>0.1</v>
      </c>
      <c r="I56" s="1" t="n">
        <v>0.169415067606927</v>
      </c>
      <c r="J56" s="1" t="n">
        <v>0.230346014627731</v>
      </c>
      <c r="K56" s="1" t="n">
        <f aca="false">J56-I56</f>
        <v>0.0609309470208031</v>
      </c>
      <c r="L56" s="1" t="n">
        <v>0.777558691836526</v>
      </c>
    </row>
    <row r="57" customFormat="false" ht="15" hidden="false" customHeight="false" outlineLevel="0" collapsed="false">
      <c r="A57" s="1" t="s">
        <v>70</v>
      </c>
      <c r="B57" s="1" t="s">
        <v>71</v>
      </c>
      <c r="C57" s="1" t="s">
        <v>72</v>
      </c>
      <c r="D57" s="1" t="s">
        <v>19</v>
      </c>
      <c r="E57" s="1" t="s">
        <v>20</v>
      </c>
      <c r="F57" s="1" t="n">
        <v>28</v>
      </c>
      <c r="G57" s="2" t="s">
        <v>28</v>
      </c>
      <c r="H57" s="1" t="n">
        <v>0.233</v>
      </c>
      <c r="I57" s="1" t="n">
        <v>0.357615758299974</v>
      </c>
      <c r="J57" s="1" t="n">
        <v>0.371160735176762</v>
      </c>
      <c r="K57" s="1" t="n">
        <f aca="false">J57-I57</f>
        <v>0.0135449768767879</v>
      </c>
      <c r="L57" s="1" t="n">
        <v>0.769655236905789</v>
      </c>
    </row>
    <row r="58" customFormat="false" ht="15" hidden="false" customHeight="false" outlineLevel="0" collapsed="false">
      <c r="A58" s="1" t="s">
        <v>70</v>
      </c>
      <c r="B58" s="1" t="s">
        <v>71</v>
      </c>
      <c r="C58" s="1" t="s">
        <v>72</v>
      </c>
      <c r="D58" s="1" t="s">
        <v>19</v>
      </c>
      <c r="E58" s="1" t="s">
        <v>20</v>
      </c>
      <c r="F58" s="1" t="n">
        <v>28</v>
      </c>
      <c r="G58" s="2" t="s">
        <v>32</v>
      </c>
      <c r="H58" s="1" t="n">
        <v>0.1699</v>
      </c>
      <c r="I58" s="1" t="n">
        <v>0.260732947860835</v>
      </c>
      <c r="J58" s="1" t="n">
        <v>0.314381172250839</v>
      </c>
      <c r="K58" s="1" t="n">
        <f aca="false">J58-I58</f>
        <v>0.0536482243900037</v>
      </c>
      <c r="L58" s="1" t="n">
        <v>0.769655236905789</v>
      </c>
    </row>
    <row r="59" customFormat="false" ht="15" hidden="false" customHeight="false" outlineLevel="0" collapsed="false">
      <c r="A59" s="1" t="s">
        <v>70</v>
      </c>
      <c r="B59" s="1" t="s">
        <v>71</v>
      </c>
      <c r="C59" s="1" t="s">
        <v>72</v>
      </c>
      <c r="D59" s="1" t="s">
        <v>19</v>
      </c>
      <c r="E59" s="1" t="s">
        <v>20</v>
      </c>
      <c r="F59" s="1" t="n">
        <v>28</v>
      </c>
      <c r="G59" s="2" t="s">
        <v>40</v>
      </c>
      <c r="H59" s="1" t="n">
        <v>0.1689</v>
      </c>
      <c r="I59" s="1" t="n">
        <v>0.259264941111972</v>
      </c>
      <c r="J59" s="1" t="n">
        <v>0.282126091203853</v>
      </c>
      <c r="K59" s="1" t="n">
        <f aca="false">J59-I59</f>
        <v>0.0228611500918812</v>
      </c>
      <c r="L59" s="1" t="n">
        <v>0.769655236905789</v>
      </c>
    </row>
    <row r="60" customFormat="false" ht="15" hidden="false" customHeight="false" outlineLevel="0" collapsed="false">
      <c r="A60" s="1" t="s">
        <v>70</v>
      </c>
      <c r="B60" s="1" t="s">
        <v>71</v>
      </c>
      <c r="C60" s="1" t="s">
        <v>72</v>
      </c>
      <c r="D60" s="1" t="s">
        <v>19</v>
      </c>
      <c r="E60" s="1" t="s">
        <v>20</v>
      </c>
      <c r="F60" s="1" t="n">
        <v>28</v>
      </c>
      <c r="G60" s="2" t="s">
        <v>31</v>
      </c>
      <c r="H60" s="1" t="n">
        <v>0.1667</v>
      </c>
      <c r="I60" s="1" t="n">
        <v>0.255804736687287</v>
      </c>
      <c r="J60" s="1" t="n">
        <v>0.274458746325403</v>
      </c>
      <c r="K60" s="1" t="n">
        <f aca="false">J60-I60</f>
        <v>0.0186540096381163</v>
      </c>
      <c r="L60" s="1" t="n">
        <v>0.769655236905789</v>
      </c>
    </row>
    <row r="61" customFormat="false" ht="15" hidden="false" customHeight="false" outlineLevel="0" collapsed="false">
      <c r="A61" s="1" t="s">
        <v>70</v>
      </c>
      <c r="B61" s="1" t="s">
        <v>71</v>
      </c>
      <c r="C61" s="1" t="s">
        <v>72</v>
      </c>
      <c r="D61" s="1" t="s">
        <v>19</v>
      </c>
      <c r="E61" s="1" t="s">
        <v>20</v>
      </c>
      <c r="F61" s="1" t="n">
        <v>28</v>
      </c>
      <c r="G61" s="2" t="s">
        <v>47</v>
      </c>
      <c r="H61" s="1" t="n">
        <v>0.1615</v>
      </c>
      <c r="I61" s="1" t="n">
        <v>0.247940312761652</v>
      </c>
      <c r="J61" s="1" t="n">
        <v>0.30692880449294</v>
      </c>
      <c r="K61" s="1" t="n">
        <f aca="false">J61-I61</f>
        <v>0.0589884917312876</v>
      </c>
      <c r="L61" s="1" t="n">
        <v>0.769655236905789</v>
      </c>
    </row>
    <row r="62" customFormat="false" ht="15" hidden="false" customHeight="false" outlineLevel="0" collapsed="false">
      <c r="A62" s="1" t="s">
        <v>70</v>
      </c>
      <c r="B62" s="1" t="s">
        <v>71</v>
      </c>
      <c r="C62" s="1" t="s">
        <v>72</v>
      </c>
      <c r="D62" s="1" t="s">
        <v>19</v>
      </c>
      <c r="E62" s="1" t="s">
        <v>20</v>
      </c>
      <c r="F62" s="1" t="n">
        <v>28</v>
      </c>
      <c r="G62" s="2" t="s">
        <v>21</v>
      </c>
      <c r="H62" s="1" t="n">
        <v>0.1</v>
      </c>
      <c r="I62" s="1" t="n">
        <v>0.16720267200749</v>
      </c>
      <c r="J62" s="1" t="n">
        <v>0.265770161041077</v>
      </c>
      <c r="K62" s="1" t="n">
        <f aca="false">J62-I62</f>
        <v>0.0985674890335871</v>
      </c>
      <c r="L62" s="1" t="n">
        <v>0.769655236905789</v>
      </c>
    </row>
    <row r="63" customFormat="false" ht="15" hidden="false" customHeight="false" outlineLevel="0" collapsed="false">
      <c r="A63" s="1" t="s">
        <v>73</v>
      </c>
      <c r="B63" s="1" t="s">
        <v>74</v>
      </c>
      <c r="C63" s="1" t="s">
        <v>75</v>
      </c>
      <c r="D63" s="1" t="s">
        <v>19</v>
      </c>
      <c r="E63" s="1" t="s">
        <v>20</v>
      </c>
      <c r="F63" s="1" t="n">
        <v>30</v>
      </c>
      <c r="G63" s="2" t="s">
        <v>28</v>
      </c>
      <c r="H63" s="1" t="n">
        <v>0.2321</v>
      </c>
      <c r="I63" s="1" t="n">
        <v>0.327213370235604</v>
      </c>
      <c r="J63" s="1" t="n">
        <v>0.312604198459953</v>
      </c>
      <c r="K63" s="1" t="n">
        <f aca="false">J63-I63</f>
        <v>-0.0146091717756506</v>
      </c>
      <c r="L63" s="1" t="n">
        <v>0.692685234430471</v>
      </c>
    </row>
    <row r="64" customFormat="false" ht="15" hidden="false" customHeight="false" outlineLevel="0" collapsed="false">
      <c r="A64" s="1" t="s">
        <v>73</v>
      </c>
      <c r="B64" s="1" t="s">
        <v>74</v>
      </c>
      <c r="C64" s="1" t="s">
        <v>75</v>
      </c>
      <c r="D64" s="1" t="s">
        <v>19</v>
      </c>
      <c r="E64" s="1" t="s">
        <v>20</v>
      </c>
      <c r="F64" s="1" t="n">
        <v>30</v>
      </c>
      <c r="G64" s="2" t="s">
        <v>32</v>
      </c>
      <c r="H64" s="1" t="n">
        <v>0.1832</v>
      </c>
      <c r="I64" s="1" t="n">
        <v>0.258350042775341</v>
      </c>
      <c r="J64" s="1" t="n">
        <v>0.290702800107777</v>
      </c>
      <c r="K64" s="1" t="n">
        <f aca="false">J64-I64</f>
        <v>0.0323527573324364</v>
      </c>
      <c r="L64" s="1" t="n">
        <v>0.692685234430471</v>
      </c>
    </row>
    <row r="65" customFormat="false" ht="15" hidden="false" customHeight="false" outlineLevel="0" collapsed="false">
      <c r="A65" s="1" t="s">
        <v>73</v>
      </c>
      <c r="B65" s="1" t="s">
        <v>74</v>
      </c>
      <c r="C65" s="1" t="s">
        <v>75</v>
      </c>
      <c r="D65" s="1" t="s">
        <v>19</v>
      </c>
      <c r="E65" s="1" t="s">
        <v>20</v>
      </c>
      <c r="F65" s="1" t="n">
        <v>30</v>
      </c>
      <c r="G65" s="2" t="s">
        <v>39</v>
      </c>
      <c r="H65" s="1" t="n">
        <v>0.1667</v>
      </c>
      <c r="I65" s="1" t="n">
        <v>0.234966203693109</v>
      </c>
      <c r="J65" s="1" t="n">
        <v>0.323344247689006</v>
      </c>
      <c r="K65" s="1" t="n">
        <f aca="false">J65-I65</f>
        <v>0.0883780439958969</v>
      </c>
      <c r="L65" s="1" t="n">
        <v>0.692685234430471</v>
      </c>
    </row>
    <row r="66" customFormat="false" ht="15" hidden="false" customHeight="false" outlineLevel="0" collapsed="false">
      <c r="A66" s="1" t="s">
        <v>73</v>
      </c>
      <c r="B66" s="1" t="s">
        <v>74</v>
      </c>
      <c r="C66" s="1" t="s">
        <v>75</v>
      </c>
      <c r="D66" s="1" t="s">
        <v>19</v>
      </c>
      <c r="E66" s="1" t="s">
        <v>20</v>
      </c>
      <c r="F66" s="1" t="n">
        <v>30</v>
      </c>
      <c r="G66" s="2" t="s">
        <v>40</v>
      </c>
      <c r="H66" s="1" t="n">
        <v>0.1602</v>
      </c>
      <c r="I66" s="1" t="n">
        <v>0.225809254882389</v>
      </c>
      <c r="J66" s="1" t="n">
        <v>0.245647020702212</v>
      </c>
      <c r="K66" s="1" t="n">
        <f aca="false">J66-I66</f>
        <v>0.0198377658198232</v>
      </c>
      <c r="L66" s="1" t="n">
        <v>0.692685234430471</v>
      </c>
    </row>
    <row r="67" customFormat="false" ht="15" hidden="false" customHeight="false" outlineLevel="0" collapsed="false">
      <c r="A67" s="1" t="s">
        <v>73</v>
      </c>
      <c r="B67" s="1" t="s">
        <v>74</v>
      </c>
      <c r="C67" s="1" t="s">
        <v>75</v>
      </c>
      <c r="D67" s="1" t="s">
        <v>19</v>
      </c>
      <c r="E67" s="1" t="s">
        <v>20</v>
      </c>
      <c r="F67" s="1" t="n">
        <v>30</v>
      </c>
      <c r="G67" s="2" t="s">
        <v>31</v>
      </c>
      <c r="H67" s="1" t="n">
        <v>0.1578</v>
      </c>
      <c r="I67" s="1" t="n">
        <v>0.222536164350526</v>
      </c>
      <c r="J67" s="1" t="n">
        <v>0.256522871303891</v>
      </c>
      <c r="K67" s="1" t="n">
        <f aca="false">J67-I67</f>
        <v>0.0339867069533643</v>
      </c>
      <c r="L67" s="1" t="n">
        <v>0.692685234430471</v>
      </c>
    </row>
    <row r="68" customFormat="false" ht="15" hidden="false" customHeight="false" outlineLevel="0" collapsed="false">
      <c r="A68" s="1" t="s">
        <v>73</v>
      </c>
      <c r="B68" s="1" t="s">
        <v>74</v>
      </c>
      <c r="C68" s="1" t="s">
        <v>75</v>
      </c>
      <c r="D68" s="1" t="s">
        <v>19</v>
      </c>
      <c r="E68" s="1" t="s">
        <v>20</v>
      </c>
      <c r="F68" s="1" t="n">
        <v>30</v>
      </c>
      <c r="G68" s="2" t="s">
        <v>21</v>
      </c>
      <c r="H68" s="1" t="n">
        <v>0.1</v>
      </c>
      <c r="I68" s="1" t="n">
        <v>0.186629771670581</v>
      </c>
      <c r="J68" s="1" t="n">
        <v>0.256661740151958</v>
      </c>
      <c r="K68" s="1" t="n">
        <f aca="false">J68-I68</f>
        <v>0.0700319684813766</v>
      </c>
      <c r="L68" s="1" t="n">
        <v>0.692685234430471</v>
      </c>
    </row>
    <row r="69" customFormat="false" ht="15" hidden="false" customHeight="false" outlineLevel="0" collapsed="false">
      <c r="A69" s="1" t="s">
        <v>76</v>
      </c>
      <c r="B69" s="1" t="s">
        <v>77</v>
      </c>
      <c r="C69" s="1" t="s">
        <v>78</v>
      </c>
      <c r="D69" s="1" t="s">
        <v>19</v>
      </c>
      <c r="E69" s="1" t="s">
        <v>20</v>
      </c>
      <c r="F69" s="1" t="n">
        <v>32</v>
      </c>
      <c r="G69" s="2" t="s">
        <v>28</v>
      </c>
      <c r="H69" s="1" t="n">
        <v>0.2059</v>
      </c>
      <c r="I69" s="1" t="n">
        <v>0.299162563571786</v>
      </c>
      <c r="J69" s="1" t="n">
        <v>0.319278368854159</v>
      </c>
      <c r="K69" s="1" t="n">
        <f aca="false">J69-I69</f>
        <v>0.0201158052823729</v>
      </c>
      <c r="L69" s="1" t="n">
        <v>0.805787272798479</v>
      </c>
    </row>
    <row r="70" customFormat="false" ht="15" hidden="false" customHeight="false" outlineLevel="0" collapsed="false">
      <c r="A70" s="1" t="s">
        <v>76</v>
      </c>
      <c r="B70" s="1" t="s">
        <v>77</v>
      </c>
      <c r="C70" s="1" t="s">
        <v>78</v>
      </c>
      <c r="D70" s="1" t="s">
        <v>19</v>
      </c>
      <c r="E70" s="1" t="s">
        <v>20</v>
      </c>
      <c r="F70" s="1" t="n">
        <v>32</v>
      </c>
      <c r="G70" s="2" t="s">
        <v>39</v>
      </c>
      <c r="H70" s="1" t="n">
        <v>0.1813</v>
      </c>
      <c r="I70" s="1" t="n">
        <v>0.263369165873847</v>
      </c>
      <c r="J70" s="1" t="n">
        <v>0.351564257287168</v>
      </c>
      <c r="K70" s="1" t="n">
        <f aca="false">J70-I70</f>
        <v>0.0881950914133212</v>
      </c>
      <c r="L70" s="1" t="n">
        <v>0.805787272798479</v>
      </c>
    </row>
    <row r="71" customFormat="false" ht="15" hidden="false" customHeight="false" outlineLevel="0" collapsed="false">
      <c r="A71" s="1" t="s">
        <v>76</v>
      </c>
      <c r="B71" s="1" t="s">
        <v>77</v>
      </c>
      <c r="C71" s="1" t="s">
        <v>78</v>
      </c>
      <c r="D71" s="1" t="s">
        <v>19</v>
      </c>
      <c r="E71" s="1" t="s">
        <v>20</v>
      </c>
      <c r="F71" s="1" t="n">
        <v>32</v>
      </c>
      <c r="G71" s="2" t="s">
        <v>47</v>
      </c>
      <c r="H71" s="1" t="n">
        <v>0.1749</v>
      </c>
      <c r="I71" s="1" t="n">
        <v>0.254180240236748</v>
      </c>
      <c r="J71" s="1" t="n">
        <v>0.318213177736725</v>
      </c>
      <c r="K71" s="1" t="n">
        <f aca="false">J71-I71</f>
        <v>0.0640329374999773</v>
      </c>
      <c r="L71" s="1" t="n">
        <v>0.805787272798479</v>
      </c>
    </row>
    <row r="72" customFormat="false" ht="15" hidden="false" customHeight="false" outlineLevel="0" collapsed="false">
      <c r="A72" s="1" t="s">
        <v>76</v>
      </c>
      <c r="B72" s="1" t="s">
        <v>77</v>
      </c>
      <c r="C72" s="1" t="s">
        <v>78</v>
      </c>
      <c r="D72" s="1" t="s">
        <v>19</v>
      </c>
      <c r="E72" s="1" t="s">
        <v>20</v>
      </c>
      <c r="F72" s="1" t="n">
        <v>32</v>
      </c>
      <c r="G72" s="2" t="s">
        <v>32</v>
      </c>
      <c r="H72" s="1" t="n">
        <v>0.1726</v>
      </c>
      <c r="I72" s="1" t="n">
        <v>0.25077828715874</v>
      </c>
      <c r="J72" s="1" t="n">
        <v>0.310674825673297</v>
      </c>
      <c r="K72" s="1" t="n">
        <f aca="false">J72-I72</f>
        <v>0.0598965385145567</v>
      </c>
      <c r="L72" s="1" t="n">
        <v>0.805787272798479</v>
      </c>
    </row>
    <row r="73" customFormat="false" ht="15" hidden="false" customHeight="false" outlineLevel="0" collapsed="false">
      <c r="A73" s="1" t="s">
        <v>76</v>
      </c>
      <c r="B73" s="1" t="s">
        <v>77</v>
      </c>
      <c r="C73" s="1" t="s">
        <v>78</v>
      </c>
      <c r="D73" s="1" t="s">
        <v>19</v>
      </c>
      <c r="E73" s="1" t="s">
        <v>20</v>
      </c>
      <c r="F73" s="1" t="n">
        <v>32</v>
      </c>
      <c r="G73" s="2" t="s">
        <v>31</v>
      </c>
      <c r="H73" s="1" t="n">
        <v>0.1653</v>
      </c>
      <c r="I73" s="1" t="n">
        <v>0.240116516489162</v>
      </c>
      <c r="J73" s="1" t="n">
        <v>0.282380577241888</v>
      </c>
      <c r="K73" s="1" t="n">
        <f aca="false">J73-I73</f>
        <v>0.0422640607527267</v>
      </c>
      <c r="L73" s="1" t="n">
        <v>0.805787272798479</v>
      </c>
    </row>
    <row r="74" customFormat="false" ht="15" hidden="false" customHeight="false" outlineLevel="0" collapsed="false">
      <c r="A74" s="1" t="s">
        <v>76</v>
      </c>
      <c r="B74" s="1" t="s">
        <v>77</v>
      </c>
      <c r="C74" s="1" t="s">
        <v>78</v>
      </c>
      <c r="D74" s="1" t="s">
        <v>19</v>
      </c>
      <c r="E74" s="1" t="s">
        <v>20</v>
      </c>
      <c r="F74" s="1" t="n">
        <v>32</v>
      </c>
      <c r="G74" s="2" t="s">
        <v>21</v>
      </c>
      <c r="H74" s="1" t="n">
        <v>0.1</v>
      </c>
      <c r="I74" s="1" t="n">
        <v>0.203508099809549</v>
      </c>
      <c r="J74" s="1" t="n">
        <v>0.273460390179745</v>
      </c>
      <c r="K74" s="1" t="n">
        <f aca="false">J74-I74</f>
        <v>0.0699522903701959</v>
      </c>
      <c r="L74" s="1" t="n">
        <v>0.805787272798479</v>
      </c>
    </row>
    <row r="75" customFormat="false" ht="15" hidden="false" customHeight="false" outlineLevel="0" collapsed="false">
      <c r="A75" s="1" t="s">
        <v>79</v>
      </c>
      <c r="B75" s="1" t="s">
        <v>80</v>
      </c>
      <c r="C75" s="1" t="s">
        <v>81</v>
      </c>
      <c r="D75" s="1" t="s">
        <v>19</v>
      </c>
      <c r="E75" s="1" t="s">
        <v>20</v>
      </c>
      <c r="F75" s="1" t="n">
        <v>34</v>
      </c>
      <c r="G75" s="2" t="s">
        <v>31</v>
      </c>
      <c r="H75" s="1" t="n">
        <v>0.1852</v>
      </c>
      <c r="I75" s="1" t="n">
        <v>0.325853020014198</v>
      </c>
      <c r="J75" s="1" t="n">
        <v>0.268021536565892</v>
      </c>
      <c r="K75" s="1" t="n">
        <f aca="false">J75-I75</f>
        <v>-0.0578314834483061</v>
      </c>
      <c r="L75" s="1" t="n">
        <v>0.631093794200336</v>
      </c>
    </row>
    <row r="76" customFormat="false" ht="15" hidden="false" customHeight="false" outlineLevel="0" collapsed="false">
      <c r="A76" s="1" t="s">
        <v>79</v>
      </c>
      <c r="B76" s="1" t="s">
        <v>80</v>
      </c>
      <c r="C76" s="1" t="s">
        <v>81</v>
      </c>
      <c r="D76" s="1" t="s">
        <v>19</v>
      </c>
      <c r="E76" s="1" t="s">
        <v>20</v>
      </c>
      <c r="F76" s="1" t="n">
        <v>34</v>
      </c>
      <c r="G76" s="2" t="s">
        <v>47</v>
      </c>
      <c r="H76" s="1" t="n">
        <v>0.1846</v>
      </c>
      <c r="I76" s="1" t="n">
        <v>0.324935114216992</v>
      </c>
      <c r="J76" s="1" t="n">
        <v>0.287720287642382</v>
      </c>
      <c r="K76" s="1" t="n">
        <f aca="false">J76-I76</f>
        <v>-0.0372148265746101</v>
      </c>
      <c r="L76" s="1" t="n">
        <v>0.631093794200336</v>
      </c>
    </row>
    <row r="77" customFormat="false" ht="15" hidden="false" customHeight="false" outlineLevel="0" collapsed="false">
      <c r="A77" s="1" t="s">
        <v>79</v>
      </c>
      <c r="B77" s="1" t="s">
        <v>80</v>
      </c>
      <c r="C77" s="1" t="s">
        <v>81</v>
      </c>
      <c r="D77" s="1" t="s">
        <v>19</v>
      </c>
      <c r="E77" s="1" t="s">
        <v>20</v>
      </c>
      <c r="F77" s="1" t="n">
        <v>34</v>
      </c>
      <c r="G77" s="2" t="s">
        <v>32</v>
      </c>
      <c r="H77" s="1" t="n">
        <v>0.1803</v>
      </c>
      <c r="I77" s="1" t="n">
        <v>0.317250405825038</v>
      </c>
      <c r="J77" s="1" t="n">
        <v>0.301465077743145</v>
      </c>
      <c r="K77" s="1" t="n">
        <f aca="false">J77-I77</f>
        <v>-0.0157853280818932</v>
      </c>
      <c r="L77" s="1" t="n">
        <v>0.631093794200336</v>
      </c>
    </row>
    <row r="78" customFormat="false" ht="15" hidden="false" customHeight="false" outlineLevel="0" collapsed="false">
      <c r="A78" s="1" t="s">
        <v>79</v>
      </c>
      <c r="B78" s="1" t="s">
        <v>80</v>
      </c>
      <c r="C78" s="1" t="s">
        <v>81</v>
      </c>
      <c r="D78" s="1" t="s">
        <v>19</v>
      </c>
      <c r="E78" s="1" t="s">
        <v>20</v>
      </c>
      <c r="F78" s="1" t="n">
        <v>34</v>
      </c>
      <c r="G78" s="2" t="s">
        <v>28</v>
      </c>
      <c r="H78" s="1" t="n">
        <v>0.1789</v>
      </c>
      <c r="I78" s="1" t="n">
        <v>0.314826295788833</v>
      </c>
      <c r="J78" s="1" t="n">
        <v>0.35016881517318</v>
      </c>
      <c r="K78" s="1" t="n">
        <f aca="false">J78-I78</f>
        <v>0.0353425193843469</v>
      </c>
      <c r="L78" s="1" t="n">
        <v>0.631093794200336</v>
      </c>
    </row>
    <row r="79" customFormat="false" ht="15" hidden="false" customHeight="false" outlineLevel="0" collapsed="false">
      <c r="A79" s="1" t="s">
        <v>79</v>
      </c>
      <c r="B79" s="1" t="s">
        <v>80</v>
      </c>
      <c r="C79" s="1" t="s">
        <v>81</v>
      </c>
      <c r="D79" s="1" t="s">
        <v>19</v>
      </c>
      <c r="E79" s="1" t="s">
        <v>20</v>
      </c>
      <c r="F79" s="1" t="n">
        <v>34</v>
      </c>
      <c r="G79" s="2" t="s">
        <v>39</v>
      </c>
      <c r="H79" s="1" t="n">
        <v>0.1711</v>
      </c>
      <c r="I79" s="1" t="n">
        <v>0.301071216714658</v>
      </c>
      <c r="J79" s="1" t="n">
        <v>0.263565832203007</v>
      </c>
      <c r="K79" s="1" t="n">
        <f aca="false">J79-I79</f>
        <v>-0.0375053845116511</v>
      </c>
      <c r="L79" s="1" t="n">
        <v>0.631093794200336</v>
      </c>
    </row>
    <row r="80" customFormat="false" ht="15" hidden="false" customHeight="false" outlineLevel="0" collapsed="false">
      <c r="A80" s="1" t="s">
        <v>79</v>
      </c>
      <c r="B80" s="1" t="s">
        <v>80</v>
      </c>
      <c r="C80" s="1" t="s">
        <v>81</v>
      </c>
      <c r="D80" s="1" t="s">
        <v>19</v>
      </c>
      <c r="E80" s="1" t="s">
        <v>20</v>
      </c>
      <c r="F80" s="1" t="n">
        <v>34</v>
      </c>
      <c r="G80" s="2" t="s">
        <v>21</v>
      </c>
      <c r="H80" s="1" t="n">
        <v>0.1</v>
      </c>
      <c r="I80" s="1" t="n">
        <v>0.257746584145194</v>
      </c>
      <c r="J80" s="1" t="n">
        <v>0.264340978516708</v>
      </c>
      <c r="K80" s="1" t="n">
        <f aca="false">J80-I80</f>
        <v>0.00659439437151377</v>
      </c>
      <c r="L80" s="1" t="n">
        <v>0.631093794200336</v>
      </c>
    </row>
    <row r="81" customFormat="false" ht="15" hidden="false" customHeight="false" outlineLevel="0" collapsed="false">
      <c r="A81" s="1" t="s">
        <v>82</v>
      </c>
      <c r="B81" s="1" t="s">
        <v>83</v>
      </c>
      <c r="C81" s="1" t="s">
        <v>84</v>
      </c>
      <c r="D81" s="1" t="s">
        <v>19</v>
      </c>
      <c r="E81" s="1" t="s">
        <v>20</v>
      </c>
      <c r="F81" s="1" t="n">
        <v>36</v>
      </c>
      <c r="G81" s="2" t="s">
        <v>28</v>
      </c>
      <c r="H81" s="1" t="n">
        <v>0.2047</v>
      </c>
      <c r="I81" s="1" t="n">
        <v>0.2644579501023</v>
      </c>
      <c r="J81" s="1" t="n">
        <v>0.277406250578282</v>
      </c>
      <c r="K81" s="1" t="n">
        <f aca="false">J81-I81</f>
        <v>0.0129483004759823</v>
      </c>
      <c r="L81" s="1" t="n">
        <v>0.690269162854351</v>
      </c>
    </row>
    <row r="82" customFormat="false" ht="15" hidden="false" customHeight="false" outlineLevel="0" collapsed="false">
      <c r="A82" s="1" t="s">
        <v>82</v>
      </c>
      <c r="B82" s="1" t="s">
        <v>83</v>
      </c>
      <c r="C82" s="1" t="s">
        <v>84</v>
      </c>
      <c r="D82" s="1" t="s">
        <v>19</v>
      </c>
      <c r="E82" s="1" t="s">
        <v>20</v>
      </c>
      <c r="F82" s="1" t="n">
        <v>36</v>
      </c>
      <c r="G82" s="2" t="s">
        <v>40</v>
      </c>
      <c r="H82" s="1" t="n">
        <v>0.1868</v>
      </c>
      <c r="I82" s="1" t="n">
        <v>0.241348380016038</v>
      </c>
      <c r="J82" s="1" t="n">
        <v>0.29197221039853</v>
      </c>
      <c r="K82" s="1" t="n">
        <f aca="false">J82-I82</f>
        <v>0.0506238303824924</v>
      </c>
      <c r="L82" s="1" t="n">
        <v>0.690269162854351</v>
      </c>
    </row>
    <row r="83" customFormat="false" ht="15" hidden="false" customHeight="false" outlineLevel="0" collapsed="false">
      <c r="A83" s="1" t="s">
        <v>82</v>
      </c>
      <c r="B83" s="1" t="s">
        <v>83</v>
      </c>
      <c r="C83" s="1" t="s">
        <v>84</v>
      </c>
      <c r="D83" s="1" t="s">
        <v>19</v>
      </c>
      <c r="E83" s="1" t="s">
        <v>20</v>
      </c>
      <c r="F83" s="1" t="n">
        <v>36</v>
      </c>
      <c r="G83" s="2" t="s">
        <v>31</v>
      </c>
      <c r="H83" s="1" t="n">
        <v>0.1773</v>
      </c>
      <c r="I83" s="1" t="n">
        <v>0.229092649134703</v>
      </c>
      <c r="J83" s="1" t="n">
        <v>0.242392411348598</v>
      </c>
      <c r="K83" s="1" t="n">
        <f aca="false">J83-I83</f>
        <v>0.0132997622138957</v>
      </c>
      <c r="L83" s="1" t="n">
        <v>0.690269162854351</v>
      </c>
    </row>
    <row r="84" customFormat="false" ht="15" hidden="false" customHeight="false" outlineLevel="0" collapsed="false">
      <c r="A84" s="1" t="s">
        <v>82</v>
      </c>
      <c r="B84" s="1" t="s">
        <v>83</v>
      </c>
      <c r="C84" s="1" t="s">
        <v>84</v>
      </c>
      <c r="D84" s="1" t="s">
        <v>19</v>
      </c>
      <c r="E84" s="1" t="s">
        <v>20</v>
      </c>
      <c r="F84" s="1" t="n">
        <v>36</v>
      </c>
      <c r="G84" s="2" t="s">
        <v>47</v>
      </c>
      <c r="H84" s="1" t="n">
        <v>0.1693</v>
      </c>
      <c r="I84" s="1" t="n">
        <v>0.218771343969499</v>
      </c>
      <c r="J84" s="1" t="n">
        <v>0.225734175610835</v>
      </c>
      <c r="K84" s="1" t="n">
        <f aca="false">J84-I84</f>
        <v>0.0069628316413364</v>
      </c>
      <c r="L84" s="1" t="n">
        <v>0.690269162854351</v>
      </c>
    </row>
    <row r="85" customFormat="false" ht="15" hidden="false" customHeight="false" outlineLevel="0" collapsed="false">
      <c r="A85" s="1" t="s">
        <v>82</v>
      </c>
      <c r="B85" s="1" t="s">
        <v>83</v>
      </c>
      <c r="C85" s="1" t="s">
        <v>84</v>
      </c>
      <c r="D85" s="1" t="s">
        <v>19</v>
      </c>
      <c r="E85" s="1" t="s">
        <v>20</v>
      </c>
      <c r="F85" s="1" t="n">
        <v>36</v>
      </c>
      <c r="G85" s="2" t="s">
        <v>32</v>
      </c>
      <c r="H85" s="1" t="n">
        <v>0.1619</v>
      </c>
      <c r="I85" s="1" t="n">
        <v>0.20924212749885</v>
      </c>
      <c r="J85" s="1" t="n">
        <v>0.239163257717879</v>
      </c>
      <c r="K85" s="1" t="n">
        <f aca="false">J85-I85</f>
        <v>0.0299211302190285</v>
      </c>
      <c r="L85" s="1" t="n">
        <v>0.690269162854351</v>
      </c>
    </row>
    <row r="86" customFormat="false" ht="15" hidden="false" customHeight="false" outlineLevel="0" collapsed="false">
      <c r="A86" s="1" t="s">
        <v>82</v>
      </c>
      <c r="B86" s="1" t="s">
        <v>83</v>
      </c>
      <c r="C86" s="1" t="s">
        <v>84</v>
      </c>
      <c r="D86" s="1" t="s">
        <v>19</v>
      </c>
      <c r="E86" s="1" t="s">
        <v>20</v>
      </c>
      <c r="F86" s="1" t="n">
        <v>36</v>
      </c>
      <c r="G86" s="2" t="s">
        <v>21</v>
      </c>
      <c r="H86" s="1" t="n">
        <v>0.1</v>
      </c>
      <c r="I86" s="1" t="n">
        <v>0.193688920953744</v>
      </c>
      <c r="J86" s="1" t="n">
        <v>0.28031030056353</v>
      </c>
      <c r="K86" s="1" t="n">
        <f aca="false">J86-I86</f>
        <v>0.0866213796097858</v>
      </c>
      <c r="L86" s="1" t="n">
        <v>0.690269162854351</v>
      </c>
    </row>
    <row r="87" customFormat="false" ht="15" hidden="false" customHeight="false" outlineLevel="0" collapsed="false">
      <c r="A87" s="1" t="s">
        <v>85</v>
      </c>
      <c r="B87" s="1" t="s">
        <v>86</v>
      </c>
      <c r="C87" s="1" t="s">
        <v>87</v>
      </c>
      <c r="D87" s="1" t="s">
        <v>19</v>
      </c>
      <c r="E87" s="1" t="s">
        <v>20</v>
      </c>
      <c r="F87" s="1" t="n">
        <v>38</v>
      </c>
      <c r="G87" s="2" t="s">
        <v>88</v>
      </c>
      <c r="H87" s="1" t="n">
        <v>0.9</v>
      </c>
      <c r="I87" s="1" t="n">
        <v>0.21605973946736</v>
      </c>
      <c r="J87" s="1" t="n">
        <v>0.207562090056097</v>
      </c>
      <c r="K87" s="1" t="n">
        <f aca="false">J87-I87</f>
        <v>-0.00849764941126291</v>
      </c>
      <c r="L87" s="1" t="n">
        <v>0.697049065043941</v>
      </c>
    </row>
    <row r="88" customFormat="false" ht="15" hidden="false" customHeight="false" outlineLevel="0" collapsed="false">
      <c r="A88" s="1" t="s">
        <v>85</v>
      </c>
      <c r="B88" s="1" t="s">
        <v>86</v>
      </c>
      <c r="C88" s="1" t="s">
        <v>87</v>
      </c>
      <c r="D88" s="1" t="s">
        <v>19</v>
      </c>
      <c r="E88" s="1" t="s">
        <v>20</v>
      </c>
      <c r="F88" s="1" t="n">
        <v>38</v>
      </c>
      <c r="G88" s="2" t="s">
        <v>21</v>
      </c>
      <c r="H88" s="1" t="n">
        <v>0.1</v>
      </c>
      <c r="I88" s="1" t="n">
        <v>0.199672371948624</v>
      </c>
      <c r="J88" s="1" t="n">
        <v>0.192931734254181</v>
      </c>
      <c r="K88" s="1" t="n">
        <f aca="false">J88-I88</f>
        <v>-0.00674063769444291</v>
      </c>
      <c r="L88" s="1" t="n">
        <v>0.697049065043941</v>
      </c>
    </row>
    <row r="89" customFormat="false" ht="15" hidden="false" customHeight="false" outlineLevel="0" collapsed="false">
      <c r="A89" s="1" t="s">
        <v>89</v>
      </c>
      <c r="B89" s="1" t="s">
        <v>90</v>
      </c>
      <c r="C89" s="1" t="s">
        <v>91</v>
      </c>
      <c r="D89" s="1" t="s">
        <v>19</v>
      </c>
      <c r="E89" s="1" t="s">
        <v>20</v>
      </c>
      <c r="F89" s="1" t="n">
        <v>40</v>
      </c>
      <c r="G89" s="2" t="s">
        <v>28</v>
      </c>
      <c r="H89" s="1" t="n">
        <v>0.4773</v>
      </c>
      <c r="I89" s="1" t="n">
        <v>0.24093805117358</v>
      </c>
      <c r="J89" s="1" t="n">
        <v>0.382334336246131</v>
      </c>
      <c r="K89" s="1" t="n">
        <f aca="false">J89-I89</f>
        <v>0.141396285072551</v>
      </c>
      <c r="L89" s="1" t="n">
        <v>0.69517695472312</v>
      </c>
    </row>
    <row r="90" customFormat="false" ht="15" hidden="false" customHeight="false" outlineLevel="0" collapsed="false">
      <c r="A90" s="1" t="s">
        <v>89</v>
      </c>
      <c r="B90" s="1" t="s">
        <v>90</v>
      </c>
      <c r="C90" s="1" t="s">
        <v>91</v>
      </c>
      <c r="D90" s="1" t="s">
        <v>19</v>
      </c>
      <c r="E90" s="1" t="s">
        <v>20</v>
      </c>
      <c r="F90" s="1" t="n">
        <v>40</v>
      </c>
      <c r="G90" s="2" t="s">
        <v>40</v>
      </c>
      <c r="H90" s="1" t="n">
        <v>0.4227</v>
      </c>
      <c r="I90" s="1" t="n">
        <v>0.213391454519703</v>
      </c>
      <c r="J90" s="1" t="n">
        <v>0.322971374899629</v>
      </c>
      <c r="K90" s="1" t="n">
        <f aca="false">J90-I90</f>
        <v>0.109579920379926</v>
      </c>
      <c r="L90" s="1" t="n">
        <v>0.69517695472312</v>
      </c>
    </row>
    <row r="91" customFormat="false" ht="15" hidden="false" customHeight="false" outlineLevel="0" collapsed="false">
      <c r="A91" s="1" t="s">
        <v>89</v>
      </c>
      <c r="B91" s="1" t="s">
        <v>90</v>
      </c>
      <c r="C91" s="1" t="s">
        <v>91</v>
      </c>
      <c r="D91" s="1" t="s">
        <v>19</v>
      </c>
      <c r="E91" s="1" t="s">
        <v>20</v>
      </c>
      <c r="F91" s="1" t="n">
        <v>40</v>
      </c>
      <c r="G91" s="2" t="s">
        <v>21</v>
      </c>
      <c r="H91" s="1" t="n">
        <v>0.1</v>
      </c>
      <c r="I91" s="1" t="n">
        <v>0.142346516834775</v>
      </c>
      <c r="J91" s="1" t="n">
        <v>0.283360408458367</v>
      </c>
      <c r="K91" s="1" t="n">
        <f aca="false">J91-I91</f>
        <v>0.141013891623591</v>
      </c>
      <c r="L91" s="1" t="n">
        <v>0.69517695472312</v>
      </c>
    </row>
    <row r="92" customFormat="false" ht="15" hidden="false" customHeight="false" outlineLevel="0" collapsed="false">
      <c r="A92" s="1" t="s">
        <v>92</v>
      </c>
      <c r="B92" s="1" t="s">
        <v>93</v>
      </c>
      <c r="C92" s="1" t="s">
        <v>94</v>
      </c>
      <c r="D92" s="1" t="s">
        <v>19</v>
      </c>
      <c r="E92" s="1" t="s">
        <v>20</v>
      </c>
      <c r="F92" s="1" t="n">
        <v>42</v>
      </c>
      <c r="G92" s="2" t="s">
        <v>28</v>
      </c>
      <c r="H92" s="1" t="n">
        <v>0.1882</v>
      </c>
      <c r="I92" s="1" t="n">
        <v>0.32526666239717</v>
      </c>
      <c r="J92" s="1" t="n">
        <v>0.306916318606652</v>
      </c>
      <c r="K92" s="1" t="n">
        <f aca="false">J92-I92</f>
        <v>-0.0183503437905183</v>
      </c>
      <c r="L92" s="1" t="n">
        <v>0.757953803081435</v>
      </c>
    </row>
    <row r="93" customFormat="false" ht="15" hidden="false" customHeight="false" outlineLevel="0" collapsed="false">
      <c r="A93" s="1" t="s">
        <v>92</v>
      </c>
      <c r="B93" s="1" t="s">
        <v>93</v>
      </c>
      <c r="C93" s="1" t="s">
        <v>94</v>
      </c>
      <c r="D93" s="1" t="s">
        <v>19</v>
      </c>
      <c r="E93" s="1" t="s">
        <v>20</v>
      </c>
      <c r="F93" s="1" t="n">
        <v>42</v>
      </c>
      <c r="G93" s="2" t="s">
        <v>39</v>
      </c>
      <c r="H93" s="1" t="n">
        <v>0.1864</v>
      </c>
      <c r="I93" s="1" t="n">
        <v>0.322245604759679</v>
      </c>
      <c r="J93" s="1" t="n">
        <v>0.271239266906832</v>
      </c>
      <c r="K93" s="1" t="n">
        <f aca="false">J93-I93</f>
        <v>-0.0510063378528468</v>
      </c>
      <c r="L93" s="1" t="n">
        <v>0.757953803081435</v>
      </c>
    </row>
    <row r="94" customFormat="false" ht="15" hidden="false" customHeight="false" outlineLevel="0" collapsed="false">
      <c r="A94" s="1" t="s">
        <v>92</v>
      </c>
      <c r="B94" s="1" t="s">
        <v>93</v>
      </c>
      <c r="C94" s="1" t="s">
        <v>94</v>
      </c>
      <c r="D94" s="1" t="s">
        <v>19</v>
      </c>
      <c r="E94" s="1" t="s">
        <v>20</v>
      </c>
      <c r="F94" s="1" t="n">
        <v>42</v>
      </c>
      <c r="G94" s="2" t="s">
        <v>32</v>
      </c>
      <c r="H94" s="1" t="n">
        <v>0.1586</v>
      </c>
      <c r="I94" s="1" t="n">
        <v>0.274172061400762</v>
      </c>
      <c r="J94" s="1" t="n">
        <v>0.271572122670484</v>
      </c>
      <c r="K94" s="1" t="n">
        <f aca="false">J94-I94</f>
        <v>-0.00259993873027853</v>
      </c>
      <c r="L94" s="1" t="n">
        <v>0.757953803081435</v>
      </c>
    </row>
    <row r="95" customFormat="false" ht="15" hidden="false" customHeight="false" outlineLevel="0" collapsed="false">
      <c r="A95" s="1" t="s">
        <v>92</v>
      </c>
      <c r="B95" s="1" t="s">
        <v>93</v>
      </c>
      <c r="C95" s="1" t="s">
        <v>94</v>
      </c>
      <c r="D95" s="1" t="s">
        <v>19</v>
      </c>
      <c r="E95" s="1" t="s">
        <v>20</v>
      </c>
      <c r="F95" s="1" t="n">
        <v>42</v>
      </c>
      <c r="G95" s="2" t="s">
        <v>47</v>
      </c>
      <c r="H95" s="1" t="n">
        <v>0.1579</v>
      </c>
      <c r="I95" s="1" t="n">
        <v>0.272835976149149</v>
      </c>
      <c r="J95" s="1" t="n">
        <v>0.287181188199439</v>
      </c>
      <c r="K95" s="1" t="n">
        <f aca="false">J95-I95</f>
        <v>0.0143452120502901</v>
      </c>
      <c r="L95" s="1" t="n">
        <v>0.757953803081435</v>
      </c>
    </row>
    <row r="96" customFormat="false" ht="15" hidden="false" customHeight="false" outlineLevel="0" collapsed="false">
      <c r="A96" s="1" t="s">
        <v>92</v>
      </c>
      <c r="B96" s="1" t="s">
        <v>93</v>
      </c>
      <c r="C96" s="1" t="s">
        <v>94</v>
      </c>
      <c r="D96" s="1" t="s">
        <v>19</v>
      </c>
      <c r="E96" s="1" t="s">
        <v>20</v>
      </c>
      <c r="F96" s="1" t="n">
        <v>42</v>
      </c>
      <c r="G96" s="2" t="s">
        <v>29</v>
      </c>
      <c r="H96" s="1" t="n">
        <v>0.1551</v>
      </c>
      <c r="I96" s="1" t="n">
        <v>0.268019846049807</v>
      </c>
      <c r="J96" s="1" t="n">
        <v>0.246307745246573</v>
      </c>
      <c r="K96" s="1" t="n">
        <f aca="false">J96-I96</f>
        <v>-0.0217121008032343</v>
      </c>
      <c r="L96" s="1" t="n">
        <v>0.757953803081435</v>
      </c>
    </row>
    <row r="97" customFormat="false" ht="15" hidden="false" customHeight="false" outlineLevel="0" collapsed="false">
      <c r="A97" s="1" t="s">
        <v>92</v>
      </c>
      <c r="B97" s="1" t="s">
        <v>93</v>
      </c>
      <c r="C97" s="1" t="s">
        <v>94</v>
      </c>
      <c r="D97" s="1" t="s">
        <v>19</v>
      </c>
      <c r="E97" s="1" t="s">
        <v>20</v>
      </c>
      <c r="F97" s="1" t="n">
        <v>42</v>
      </c>
      <c r="G97" s="2" t="s">
        <v>21</v>
      </c>
      <c r="H97" s="1" t="n">
        <v>0.1538</v>
      </c>
      <c r="I97" s="1" t="n">
        <v>0.265901992539744</v>
      </c>
      <c r="J97" s="1" t="n">
        <v>0.23686100461552</v>
      </c>
      <c r="K97" s="1" t="n">
        <f aca="false">J97-I97</f>
        <v>-0.0290409879242246</v>
      </c>
      <c r="L97" s="1" t="n">
        <v>0.757953803081435</v>
      </c>
    </row>
    <row r="98" customFormat="false" ht="15" hidden="false" customHeight="false" outlineLevel="0" collapsed="false">
      <c r="A98" s="1" t="s">
        <v>95</v>
      </c>
      <c r="B98" s="1" t="s">
        <v>96</v>
      </c>
      <c r="C98" s="1" t="s">
        <v>97</v>
      </c>
      <c r="D98" s="1" t="s">
        <v>19</v>
      </c>
      <c r="E98" s="1" t="s">
        <v>20</v>
      </c>
      <c r="F98" s="1" t="n">
        <v>44</v>
      </c>
      <c r="G98" s="2" t="s">
        <v>28</v>
      </c>
      <c r="H98" s="1" t="n">
        <v>0.1921</v>
      </c>
      <c r="I98" s="1" t="n">
        <v>0.249432988717219</v>
      </c>
      <c r="J98" s="1" t="n">
        <v>0.335330094945676</v>
      </c>
      <c r="K98" s="1" t="n">
        <f aca="false">J98-I98</f>
        <v>0.085897106228457</v>
      </c>
      <c r="L98" s="1" t="n">
        <v>0.663150812819657</v>
      </c>
    </row>
    <row r="99" customFormat="false" ht="15" hidden="false" customHeight="false" outlineLevel="0" collapsed="false">
      <c r="A99" s="1" t="s">
        <v>95</v>
      </c>
      <c r="B99" s="1" t="s">
        <v>96</v>
      </c>
      <c r="C99" s="1" t="s">
        <v>97</v>
      </c>
      <c r="D99" s="1" t="s">
        <v>19</v>
      </c>
      <c r="E99" s="1" t="s">
        <v>20</v>
      </c>
      <c r="F99" s="1" t="n">
        <v>44</v>
      </c>
      <c r="G99" s="2" t="s">
        <v>32</v>
      </c>
      <c r="H99" s="1" t="n">
        <v>0.1868</v>
      </c>
      <c r="I99" s="1" t="n">
        <v>0.242515943534397</v>
      </c>
      <c r="J99" s="1" t="n">
        <v>0.278711736017428</v>
      </c>
      <c r="K99" s="1" t="n">
        <f aca="false">J99-I99</f>
        <v>0.0361957924830315</v>
      </c>
      <c r="L99" s="1" t="n">
        <v>0.663150812819657</v>
      </c>
    </row>
    <row r="100" customFormat="false" ht="15" hidden="false" customHeight="false" outlineLevel="0" collapsed="false">
      <c r="A100" s="1" t="s">
        <v>95</v>
      </c>
      <c r="B100" s="1" t="s">
        <v>96</v>
      </c>
      <c r="C100" s="1" t="s">
        <v>97</v>
      </c>
      <c r="D100" s="1" t="s">
        <v>19</v>
      </c>
      <c r="E100" s="1" t="s">
        <v>20</v>
      </c>
      <c r="F100" s="1" t="n">
        <v>44</v>
      </c>
      <c r="G100" s="2" t="s">
        <v>47</v>
      </c>
      <c r="H100" s="1" t="n">
        <v>0.1859</v>
      </c>
      <c r="I100" s="1" t="n">
        <v>0.241433318117309</v>
      </c>
      <c r="J100" s="1" t="n">
        <v>0.267854803198</v>
      </c>
      <c r="K100" s="1" t="n">
        <f aca="false">J100-I100</f>
        <v>0.0264214850806914</v>
      </c>
      <c r="L100" s="1" t="n">
        <v>0.663150812819657</v>
      </c>
    </row>
    <row r="101" customFormat="false" ht="15" hidden="false" customHeight="false" outlineLevel="0" collapsed="false">
      <c r="A101" s="1" t="s">
        <v>95</v>
      </c>
      <c r="B101" s="1" t="s">
        <v>96</v>
      </c>
      <c r="C101" s="1" t="s">
        <v>97</v>
      </c>
      <c r="D101" s="1" t="s">
        <v>19</v>
      </c>
      <c r="E101" s="1" t="s">
        <v>20</v>
      </c>
      <c r="F101" s="1" t="n">
        <v>44</v>
      </c>
      <c r="G101" s="2" t="s">
        <v>51</v>
      </c>
      <c r="H101" s="1" t="n">
        <v>0.1706</v>
      </c>
      <c r="I101" s="1" t="n">
        <v>0.221497634565289</v>
      </c>
      <c r="J101" s="1" t="n">
        <v>0.249812188956754</v>
      </c>
      <c r="K101" s="1" t="n">
        <f aca="false">J101-I101</f>
        <v>0.0283145543914654</v>
      </c>
      <c r="L101" s="1" t="n">
        <v>0.663150812819657</v>
      </c>
    </row>
    <row r="102" customFormat="false" ht="15" hidden="false" customHeight="false" outlineLevel="0" collapsed="false">
      <c r="A102" s="1" t="s">
        <v>95</v>
      </c>
      <c r="B102" s="1" t="s">
        <v>96</v>
      </c>
      <c r="C102" s="1" t="s">
        <v>97</v>
      </c>
      <c r="D102" s="1" t="s">
        <v>19</v>
      </c>
      <c r="E102" s="1" t="s">
        <v>20</v>
      </c>
      <c r="F102" s="1" t="n">
        <v>44</v>
      </c>
      <c r="G102" s="2" t="s">
        <v>39</v>
      </c>
      <c r="H102" s="1" t="n">
        <v>0.1646</v>
      </c>
      <c r="I102" s="1" t="n">
        <v>0.21377179309514</v>
      </c>
      <c r="J102" s="1" t="n">
        <v>0.29645226164405</v>
      </c>
      <c r="K102" s="1" t="n">
        <f aca="false">J102-I102</f>
        <v>0.0826804685489099</v>
      </c>
      <c r="L102" s="1" t="n">
        <v>0.663150812819657</v>
      </c>
    </row>
    <row r="103" customFormat="false" ht="15" hidden="false" customHeight="false" outlineLevel="0" collapsed="false">
      <c r="A103" s="1" t="s">
        <v>95</v>
      </c>
      <c r="B103" s="1" t="s">
        <v>96</v>
      </c>
      <c r="C103" s="1" t="s">
        <v>97</v>
      </c>
      <c r="D103" s="1" t="s">
        <v>19</v>
      </c>
      <c r="E103" s="1" t="s">
        <v>20</v>
      </c>
      <c r="F103" s="1" t="n">
        <v>44</v>
      </c>
      <c r="G103" s="2" t="s">
        <v>21</v>
      </c>
      <c r="H103" s="1" t="n">
        <v>0.1</v>
      </c>
      <c r="I103" s="1" t="n">
        <v>0.186547527560424</v>
      </c>
      <c r="J103" s="1" t="n">
        <v>0.245659312212287</v>
      </c>
      <c r="K103" s="1" t="n">
        <f aca="false">J103-I103</f>
        <v>0.0591117846518627</v>
      </c>
      <c r="L103" s="1" t="n">
        <v>0.663150812819657</v>
      </c>
    </row>
    <row r="104" customFormat="false" ht="15" hidden="false" customHeight="false" outlineLevel="0" collapsed="false">
      <c r="A104" s="1" t="s">
        <v>98</v>
      </c>
      <c r="B104" s="1" t="s">
        <v>99</v>
      </c>
      <c r="C104" s="1" t="s">
        <v>100</v>
      </c>
      <c r="D104" s="1" t="s">
        <v>19</v>
      </c>
      <c r="E104" s="1" t="s">
        <v>20</v>
      </c>
      <c r="F104" s="1" t="n">
        <v>46</v>
      </c>
      <c r="G104" s="2" t="s">
        <v>28</v>
      </c>
      <c r="H104" s="1" t="n">
        <v>0.2159</v>
      </c>
      <c r="I104" s="1" t="n">
        <v>0.291162288245587</v>
      </c>
      <c r="J104" s="1" t="n">
        <v>0.322192277952208</v>
      </c>
      <c r="K104" s="1" t="n">
        <f aca="false">J104-I104</f>
        <v>0.0310299897066214</v>
      </c>
      <c r="L104" s="1" t="n">
        <v>0.846569350289584</v>
      </c>
    </row>
    <row r="105" customFormat="false" ht="15" hidden="false" customHeight="false" outlineLevel="0" collapsed="false">
      <c r="A105" s="1" t="s">
        <v>98</v>
      </c>
      <c r="B105" s="1" t="s">
        <v>99</v>
      </c>
      <c r="C105" s="1" t="s">
        <v>100</v>
      </c>
      <c r="D105" s="1" t="s">
        <v>19</v>
      </c>
      <c r="E105" s="1" t="s">
        <v>20</v>
      </c>
      <c r="F105" s="1" t="n">
        <v>46</v>
      </c>
      <c r="G105" s="2" t="s">
        <v>39</v>
      </c>
      <c r="H105" s="1" t="n">
        <v>0.1766</v>
      </c>
      <c r="I105" s="1" t="n">
        <v>0.238217615743003</v>
      </c>
      <c r="J105" s="1" t="n">
        <v>0.304476939025735</v>
      </c>
      <c r="K105" s="1" t="n">
        <f aca="false">J105-I105</f>
        <v>0.0662593232827317</v>
      </c>
      <c r="L105" s="1" t="n">
        <v>0.846569350289584</v>
      </c>
    </row>
    <row r="106" customFormat="false" ht="15" hidden="false" customHeight="false" outlineLevel="0" collapsed="false">
      <c r="A106" s="1" t="s">
        <v>98</v>
      </c>
      <c r="B106" s="1" t="s">
        <v>99</v>
      </c>
      <c r="C106" s="1" t="s">
        <v>100</v>
      </c>
      <c r="D106" s="1" t="s">
        <v>19</v>
      </c>
      <c r="E106" s="1" t="s">
        <v>20</v>
      </c>
      <c r="F106" s="1" t="n">
        <v>46</v>
      </c>
      <c r="G106" s="2" t="s">
        <v>31</v>
      </c>
      <c r="H106" s="1" t="n">
        <v>0.1746</v>
      </c>
      <c r="I106" s="1" t="n">
        <v>0.235511389518357</v>
      </c>
      <c r="J106" s="1" t="n">
        <v>0.268874222352754</v>
      </c>
      <c r="K106" s="1" t="n">
        <f aca="false">J106-I106</f>
        <v>0.0333628328343965</v>
      </c>
      <c r="L106" s="1" t="n">
        <v>0.846569350289584</v>
      </c>
    </row>
    <row r="107" customFormat="false" ht="15" hidden="false" customHeight="false" outlineLevel="0" collapsed="false">
      <c r="A107" s="1" t="s">
        <v>98</v>
      </c>
      <c r="B107" s="1" t="s">
        <v>99</v>
      </c>
      <c r="C107" s="1" t="s">
        <v>100</v>
      </c>
      <c r="D107" s="1" t="s">
        <v>19</v>
      </c>
      <c r="E107" s="1" t="s">
        <v>20</v>
      </c>
      <c r="F107" s="1" t="n">
        <v>46</v>
      </c>
      <c r="G107" s="2" t="s">
        <v>29</v>
      </c>
      <c r="H107" s="1" t="n">
        <v>0.1666</v>
      </c>
      <c r="I107" s="1" t="n">
        <v>0.224694466568058</v>
      </c>
      <c r="J107" s="1" t="n">
        <v>0.262736230411812</v>
      </c>
      <c r="K107" s="1" t="n">
        <f aca="false">J107-I107</f>
        <v>0.0380417638437545</v>
      </c>
      <c r="L107" s="1" t="n">
        <v>0.846569350289584</v>
      </c>
    </row>
    <row r="108" customFormat="false" ht="15" hidden="false" customHeight="false" outlineLevel="0" collapsed="false">
      <c r="A108" s="1" t="s">
        <v>98</v>
      </c>
      <c r="B108" s="1" t="s">
        <v>99</v>
      </c>
      <c r="C108" s="1" t="s">
        <v>100</v>
      </c>
      <c r="D108" s="1" t="s">
        <v>19</v>
      </c>
      <c r="E108" s="1" t="s">
        <v>20</v>
      </c>
      <c r="F108" s="1" t="n">
        <v>46</v>
      </c>
      <c r="G108" s="2" t="s">
        <v>47</v>
      </c>
      <c r="H108" s="1" t="n">
        <v>0.1664</v>
      </c>
      <c r="I108" s="1" t="n">
        <v>0.224391757857462</v>
      </c>
      <c r="J108" s="1" t="n">
        <v>0.289878242559723</v>
      </c>
      <c r="K108" s="1" t="n">
        <f aca="false">J108-I108</f>
        <v>0.0654864847022608</v>
      </c>
      <c r="L108" s="1" t="n">
        <v>0.846569350289584</v>
      </c>
    </row>
    <row r="109" customFormat="false" ht="15" hidden="false" customHeight="false" outlineLevel="0" collapsed="false">
      <c r="A109" s="1" t="s">
        <v>98</v>
      </c>
      <c r="B109" s="1" t="s">
        <v>99</v>
      </c>
      <c r="C109" s="1" t="s">
        <v>100</v>
      </c>
      <c r="D109" s="1" t="s">
        <v>19</v>
      </c>
      <c r="E109" s="1" t="s">
        <v>20</v>
      </c>
      <c r="F109" s="1" t="n">
        <v>46</v>
      </c>
      <c r="G109" s="2" t="s">
        <v>21</v>
      </c>
      <c r="H109" s="1" t="n">
        <v>0.1</v>
      </c>
      <c r="I109" s="1" t="n">
        <v>0.193134153667913</v>
      </c>
      <c r="J109" s="1" t="n">
        <v>0.254366757203787</v>
      </c>
      <c r="K109" s="1" t="n">
        <f aca="false">J109-I109</f>
        <v>0.0612326035358742</v>
      </c>
      <c r="L109" s="1" t="n">
        <v>0.846569350289584</v>
      </c>
    </row>
    <row r="110" customFormat="false" ht="15" hidden="false" customHeight="false" outlineLevel="0" collapsed="false">
      <c r="A110" s="1" t="s">
        <v>101</v>
      </c>
      <c r="B110" s="1" t="s">
        <v>102</v>
      </c>
      <c r="C110" s="1" t="s">
        <v>103</v>
      </c>
      <c r="D110" s="1" t="s">
        <v>19</v>
      </c>
      <c r="E110" s="1" t="s">
        <v>20</v>
      </c>
      <c r="F110" s="1" t="n">
        <v>48</v>
      </c>
      <c r="G110" s="2" t="s">
        <v>28</v>
      </c>
      <c r="H110" s="1" t="n">
        <v>0.2101</v>
      </c>
      <c r="I110" s="1" t="n">
        <v>0.314546696208225</v>
      </c>
      <c r="J110" s="1" t="n">
        <v>0.400930679224338</v>
      </c>
      <c r="K110" s="1" t="n">
        <f aca="false">J110-I110</f>
        <v>0.0863839830161132</v>
      </c>
      <c r="L110" s="1" t="n">
        <v>0.736292798571547</v>
      </c>
    </row>
    <row r="111" customFormat="false" ht="15" hidden="false" customHeight="false" outlineLevel="0" collapsed="false">
      <c r="A111" s="1" t="s">
        <v>101</v>
      </c>
      <c r="B111" s="1" t="s">
        <v>102</v>
      </c>
      <c r="C111" s="1" t="s">
        <v>103</v>
      </c>
      <c r="D111" s="1" t="s">
        <v>19</v>
      </c>
      <c r="E111" s="1" t="s">
        <v>20</v>
      </c>
      <c r="F111" s="1" t="n">
        <v>48</v>
      </c>
      <c r="G111" s="2" t="s">
        <v>32</v>
      </c>
      <c r="H111" s="1" t="n">
        <v>0.1843</v>
      </c>
      <c r="I111" s="1" t="n">
        <v>0.275898131780345</v>
      </c>
      <c r="J111" s="1" t="n">
        <v>0.334518511509205</v>
      </c>
      <c r="K111" s="1" t="n">
        <f aca="false">J111-I111</f>
        <v>0.0586203797288595</v>
      </c>
      <c r="L111" s="1" t="n">
        <v>0.736292798571547</v>
      </c>
    </row>
    <row r="112" customFormat="false" ht="15" hidden="false" customHeight="false" outlineLevel="0" collapsed="false">
      <c r="A112" s="1" t="s">
        <v>101</v>
      </c>
      <c r="B112" s="1" t="s">
        <v>102</v>
      </c>
      <c r="C112" s="1" t="s">
        <v>103</v>
      </c>
      <c r="D112" s="1" t="s">
        <v>19</v>
      </c>
      <c r="E112" s="1" t="s">
        <v>20</v>
      </c>
      <c r="F112" s="1" t="n">
        <v>48</v>
      </c>
      <c r="G112" s="2" t="s">
        <v>29</v>
      </c>
      <c r="H112" s="1" t="n">
        <v>0.1701</v>
      </c>
      <c r="I112" s="1" t="n">
        <v>0.25473236016352</v>
      </c>
      <c r="J112" s="1" t="n">
        <v>0.308381491564509</v>
      </c>
      <c r="K112" s="1" t="n">
        <f aca="false">J112-I112</f>
        <v>0.0536491314009893</v>
      </c>
      <c r="L112" s="1" t="n">
        <v>0.736292798571547</v>
      </c>
    </row>
    <row r="113" customFormat="false" ht="15" hidden="false" customHeight="false" outlineLevel="0" collapsed="false">
      <c r="A113" s="1" t="s">
        <v>101</v>
      </c>
      <c r="B113" s="1" t="s">
        <v>102</v>
      </c>
      <c r="C113" s="1" t="s">
        <v>103</v>
      </c>
      <c r="D113" s="1" t="s">
        <v>19</v>
      </c>
      <c r="E113" s="1" t="s">
        <v>20</v>
      </c>
      <c r="F113" s="1" t="n">
        <v>48</v>
      </c>
      <c r="G113" s="2" t="s">
        <v>47</v>
      </c>
      <c r="H113" s="1" t="n">
        <v>0.1685</v>
      </c>
      <c r="I113" s="1" t="n">
        <v>0.252213830330115</v>
      </c>
      <c r="J113" s="1" t="n">
        <v>0.333991936602366</v>
      </c>
      <c r="K113" s="1" t="n">
        <f aca="false">J113-I113</f>
        <v>0.0817781062722513</v>
      </c>
      <c r="L113" s="1" t="n">
        <v>0.736292798571547</v>
      </c>
    </row>
    <row r="114" customFormat="false" ht="15" hidden="false" customHeight="false" outlineLevel="0" collapsed="false">
      <c r="A114" s="1" t="s">
        <v>101</v>
      </c>
      <c r="B114" s="1" t="s">
        <v>102</v>
      </c>
      <c r="C114" s="1" t="s">
        <v>103</v>
      </c>
      <c r="D114" s="1" t="s">
        <v>19</v>
      </c>
      <c r="E114" s="1" t="s">
        <v>20</v>
      </c>
      <c r="F114" s="1" t="n">
        <v>48</v>
      </c>
      <c r="G114" s="2" t="s">
        <v>31</v>
      </c>
      <c r="H114" s="1" t="n">
        <v>0.167</v>
      </c>
      <c r="I114" s="1" t="n">
        <v>0.250042072272265</v>
      </c>
      <c r="J114" s="1" t="n">
        <v>0.318167175032058</v>
      </c>
      <c r="K114" s="1" t="n">
        <f aca="false">J114-I114</f>
        <v>0.0681251027597923</v>
      </c>
      <c r="L114" s="1" t="n">
        <v>0.736292798571547</v>
      </c>
    </row>
    <row r="115" customFormat="false" ht="15" hidden="false" customHeight="false" outlineLevel="0" collapsed="false">
      <c r="A115" s="1" t="s">
        <v>101</v>
      </c>
      <c r="B115" s="1" t="s">
        <v>102</v>
      </c>
      <c r="C115" s="1" t="s">
        <v>103</v>
      </c>
      <c r="D115" s="1" t="s">
        <v>19</v>
      </c>
      <c r="E115" s="1" t="s">
        <v>20</v>
      </c>
      <c r="F115" s="1" t="n">
        <v>48</v>
      </c>
      <c r="G115" s="2" t="s">
        <v>21</v>
      </c>
      <c r="H115" s="1" t="n">
        <v>0.1</v>
      </c>
      <c r="I115" s="1" t="n">
        <v>0.202755823389734</v>
      </c>
      <c r="J115" s="1" t="n">
        <v>0.3107725390479</v>
      </c>
      <c r="K115" s="1" t="n">
        <f aca="false">J115-I115</f>
        <v>0.108016715658166</v>
      </c>
      <c r="L115" s="1" t="n">
        <v>0.736292798571547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1" sqref="C4:C28 B5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0.79"/>
  </cols>
  <sheetData>
    <row r="1" customFormat="false" ht="12.8" hidden="false" customHeight="false" outlineLevel="0" collapsed="false">
      <c r="A1" s="7" t="s">
        <v>104</v>
      </c>
      <c r="B1" s="7"/>
    </row>
    <row r="2" customFormat="false" ht="12.8" hidden="false" customHeight="false" outlineLevel="0" collapsed="false">
      <c r="A2" s="7"/>
      <c r="B2" s="7"/>
    </row>
    <row r="3" customFormat="false" ht="12.8" hidden="false" customHeight="false" outlineLevel="0" collapsed="false">
      <c r="A3" s="7" t="s">
        <v>105</v>
      </c>
      <c r="B3" s="8" t="n">
        <f aca="false">scen6_hybrid!P2</f>
        <v>113</v>
      </c>
    </row>
    <row r="4" customFormat="false" ht="12.8" hidden="false" customHeight="false" outlineLevel="0" collapsed="false">
      <c r="A4" s="7" t="s">
        <v>106</v>
      </c>
      <c r="B4" s="7" t="n">
        <f aca="false">B10*SQRT((B3-2)/(1-B10^2))</f>
        <v>0.3761000001615</v>
      </c>
    </row>
    <row r="5" customFormat="false" ht="12.8" hidden="false" customHeight="false" outlineLevel="0" collapsed="false">
      <c r="A5" s="7" t="s">
        <v>107</v>
      </c>
      <c r="B5" s="7" t="n">
        <f aca="false">_xlfn.T.DIST.2T(ABS(B4),B3-2)</f>
        <v>0.707560428690131</v>
      </c>
    </row>
    <row r="6" customFormat="false" ht="12.8" hidden="false" customHeight="false" outlineLevel="0" collapsed="false">
      <c r="A6" s="7"/>
      <c r="B6" s="9"/>
    </row>
    <row r="7" customFormat="false" ht="12.8" hidden="false" customHeight="false" outlineLevel="0" collapsed="false">
      <c r="A7" s="7"/>
      <c r="B7" s="9"/>
    </row>
    <row r="8" customFormat="false" ht="12.8" hidden="false" customHeight="false" outlineLevel="0" collapsed="false">
      <c r="A8" s="7"/>
      <c r="B8" s="9"/>
    </row>
    <row r="9" customFormat="false" ht="19.4" hidden="false" customHeight="false" outlineLevel="0" collapsed="false">
      <c r="A9" s="4" t="s">
        <v>12</v>
      </c>
      <c r="B9" s="4" t="s">
        <v>14</v>
      </c>
    </row>
    <row r="10" customFormat="false" ht="12.8" hidden="false" customHeight="false" outlineLevel="0" collapsed="false">
      <c r="A10" s="10" t="n">
        <f aca="false">B3</f>
        <v>113</v>
      </c>
      <c r="B10" s="10" t="n">
        <f aca="false">scen6_hybrid!R2</f>
        <v>0.0356751084490062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" activeCellId="1" sqref="C4:C28 B3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11" t="s">
        <v>108</v>
      </c>
      <c r="B2" s="11"/>
    </row>
    <row r="3" customFormat="false" ht="12.8" hidden="false" customHeight="false" outlineLevel="0" collapsed="false">
      <c r="A3" s="12" t="s">
        <v>109</v>
      </c>
      <c r="B3" s="6" t="s">
        <v>110</v>
      </c>
    </row>
    <row r="4" customFormat="false" ht="12.8" hidden="false" customHeight="false" outlineLevel="0" collapsed="false">
      <c r="A4" s="9" t="n">
        <v>1</v>
      </c>
      <c r="B4" s="1" t="n">
        <v>0.818947298519002</v>
      </c>
    </row>
    <row r="5" customFormat="false" ht="12.8" hidden="false" customHeight="false" outlineLevel="0" collapsed="false">
      <c r="A5" s="9" t="n">
        <v>2</v>
      </c>
      <c r="B5" s="1" t="n">
        <v>0.726675054349364</v>
      </c>
    </row>
    <row r="6" customFormat="false" ht="12.8" hidden="false" customHeight="false" outlineLevel="0" collapsed="false">
      <c r="A6" s="9" t="n">
        <v>3</v>
      </c>
      <c r="B6" s="1" t="n">
        <v>0.753823763148008</v>
      </c>
    </row>
    <row r="7" customFormat="false" ht="12.8" hidden="false" customHeight="false" outlineLevel="0" collapsed="false">
      <c r="A7" s="9" t="n">
        <v>4</v>
      </c>
      <c r="B7" s="1" t="n">
        <v>0.694689160951428</v>
      </c>
    </row>
    <row r="8" customFormat="false" ht="12.8" hidden="false" customHeight="false" outlineLevel="0" collapsed="false">
      <c r="A8" s="9" t="n">
        <v>5</v>
      </c>
      <c r="B8" s="1" t="n">
        <v>0.750318975083652</v>
      </c>
    </row>
    <row r="9" customFormat="false" ht="12.8" hidden="false" customHeight="false" outlineLevel="0" collapsed="false">
      <c r="A9" s="9" t="n">
        <v>6</v>
      </c>
      <c r="B9" s="1" t="n">
        <v>0.792897506425522</v>
      </c>
    </row>
    <row r="10" customFormat="false" ht="12.8" hidden="false" customHeight="false" outlineLevel="0" collapsed="false">
      <c r="A10" s="9" t="n">
        <v>7</v>
      </c>
      <c r="B10" s="1" t="n">
        <v>0.740717063652639</v>
      </c>
    </row>
    <row r="11" customFormat="false" ht="12.8" hidden="false" customHeight="false" outlineLevel="0" collapsed="false">
      <c r="A11" s="9" t="n">
        <v>8</v>
      </c>
      <c r="B11" s="1" t="n">
        <v>0.701518866188206</v>
      </c>
    </row>
    <row r="12" customFormat="false" ht="12.8" hidden="false" customHeight="false" outlineLevel="0" collapsed="false">
      <c r="A12" s="9" t="n">
        <v>9</v>
      </c>
      <c r="B12" s="1" t="n">
        <v>0.679408838434061</v>
      </c>
    </row>
    <row r="13" customFormat="false" ht="12.8" hidden="false" customHeight="false" outlineLevel="0" collapsed="false">
      <c r="A13" s="9" t="n">
        <v>10</v>
      </c>
      <c r="B13" s="1" t="n">
        <v>0.693828339018655</v>
      </c>
    </row>
    <row r="14" customFormat="false" ht="12.8" hidden="false" customHeight="false" outlineLevel="0" collapsed="false">
      <c r="A14" s="9" t="n">
        <v>11</v>
      </c>
      <c r="B14" s="1" t="n">
        <v>0.714015093691685</v>
      </c>
    </row>
    <row r="15" customFormat="false" ht="12.8" hidden="false" customHeight="false" outlineLevel="0" collapsed="false">
      <c r="A15" s="9" t="n">
        <v>12</v>
      </c>
      <c r="B15" s="1" t="n">
        <v>0.829353335851788</v>
      </c>
    </row>
    <row r="16" customFormat="false" ht="12.8" hidden="false" customHeight="false" outlineLevel="0" collapsed="false">
      <c r="A16" s="9" t="n">
        <v>13</v>
      </c>
      <c r="B16" s="1" t="n">
        <v>0.741335114714525</v>
      </c>
    </row>
    <row r="17" customFormat="false" ht="12.8" hidden="false" customHeight="false" outlineLevel="0" collapsed="false">
      <c r="A17" s="9" t="n">
        <v>14</v>
      </c>
      <c r="B17" s="1" t="n">
        <v>0.777558691836526</v>
      </c>
    </row>
    <row r="18" customFormat="false" ht="12.8" hidden="false" customHeight="false" outlineLevel="0" collapsed="false">
      <c r="A18" s="9" t="n">
        <v>15</v>
      </c>
      <c r="B18" s="1" t="n">
        <v>0.769655236905789</v>
      </c>
    </row>
    <row r="19" customFormat="false" ht="12.8" hidden="false" customHeight="false" outlineLevel="0" collapsed="false">
      <c r="A19" s="9" t="n">
        <v>16</v>
      </c>
      <c r="B19" s="1" t="n">
        <v>0.692685234430471</v>
      </c>
    </row>
    <row r="20" customFormat="false" ht="12.8" hidden="false" customHeight="false" outlineLevel="0" collapsed="false">
      <c r="A20" s="9" t="n">
        <v>17</v>
      </c>
      <c r="B20" s="1" t="n">
        <v>0.805787272798479</v>
      </c>
    </row>
    <row r="21" customFormat="false" ht="12.8" hidden="false" customHeight="false" outlineLevel="0" collapsed="false">
      <c r="A21" s="9" t="n">
        <v>18</v>
      </c>
      <c r="B21" s="1" t="n">
        <v>0.631093794200336</v>
      </c>
    </row>
    <row r="22" customFormat="false" ht="12.8" hidden="false" customHeight="false" outlineLevel="0" collapsed="false">
      <c r="A22" s="9" t="n">
        <v>19</v>
      </c>
      <c r="B22" s="1" t="n">
        <v>0.690269162854351</v>
      </c>
    </row>
    <row r="23" customFormat="false" ht="12.8" hidden="false" customHeight="false" outlineLevel="0" collapsed="false">
      <c r="A23" s="9" t="n">
        <v>20</v>
      </c>
      <c r="B23" s="1" t="n">
        <v>0.697049065043941</v>
      </c>
    </row>
    <row r="24" customFormat="false" ht="12.8" hidden="false" customHeight="false" outlineLevel="0" collapsed="false">
      <c r="A24" s="9" t="n">
        <v>21</v>
      </c>
      <c r="B24" s="1" t="n">
        <v>0.69517695472312</v>
      </c>
    </row>
    <row r="25" customFormat="false" ht="12.8" hidden="false" customHeight="false" outlineLevel="0" collapsed="false">
      <c r="A25" s="9" t="n">
        <v>22</v>
      </c>
      <c r="B25" s="1" t="n">
        <v>0.757953803081435</v>
      </c>
    </row>
    <row r="26" customFormat="false" ht="12.8" hidden="false" customHeight="false" outlineLevel="0" collapsed="false">
      <c r="A26" s="9" t="n">
        <v>23</v>
      </c>
      <c r="B26" s="1" t="n">
        <v>0.663150812819657</v>
      </c>
    </row>
    <row r="27" customFormat="false" ht="12.8" hidden="false" customHeight="false" outlineLevel="0" collapsed="false">
      <c r="A27" s="9" t="n">
        <v>24</v>
      </c>
      <c r="B27" s="1" t="n">
        <v>0.846569350289584</v>
      </c>
    </row>
    <row r="28" customFormat="false" ht="12.8" hidden="false" customHeight="false" outlineLevel="0" collapsed="false">
      <c r="A28" s="5" t="n">
        <v>25</v>
      </c>
      <c r="B28" s="1" t="n">
        <v>0.736292798571547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C4" activeCellId="0" sqref="C4:C28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5" style="1" width="30.13"/>
    <col collapsed="false" customWidth="true" hidden="false" outlineLevel="0" max="6" min="6" style="1" width="22.55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1" customFormat="false" ht="12.8" hidden="false" customHeight="false" outlineLevel="0" collapsed="false">
      <c r="A1" s="11" t="s">
        <v>108</v>
      </c>
      <c r="B1" s="11"/>
    </row>
    <row r="2" customFormat="false" ht="12.8" hidden="false" customHeight="false" outlineLevel="0" collapsed="false">
      <c r="A2" s="12" t="s">
        <v>109</v>
      </c>
      <c r="B2" s="6" t="s">
        <v>110</v>
      </c>
      <c r="C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  <c r="I2" s="5" t="s">
        <v>116</v>
      </c>
      <c r="J2" s="5" t="s">
        <v>117</v>
      </c>
      <c r="K2" s="1" t="s">
        <v>118</v>
      </c>
      <c r="L2" s="1" t="s">
        <v>119</v>
      </c>
    </row>
    <row r="3" customFormat="false" ht="12.8" hidden="false" customHeight="false" outlineLevel="0" collapsed="false">
      <c r="A3" s="9" t="n">
        <v>1</v>
      </c>
      <c r="B3" s="1" t="n">
        <v>0.818947298519002</v>
      </c>
      <c r="C3" s="6" t="n">
        <v>0.820530604737196</v>
      </c>
      <c r="E3" s="5" t="n">
        <f aca="false">_xlfn.STDEV.S(B3:B27)</f>
        <v>0.0546785529532491</v>
      </c>
      <c r="F3" s="5" t="n">
        <f aca="false">_xlfn.STDEV.S(C3:C27)</f>
        <v>0.110296896441833</v>
      </c>
      <c r="G3" s="5" t="n">
        <f aca="false">_xlfn.F.TEST(B3:B27,C3:C27)</f>
        <v>0.00104774381354375</v>
      </c>
      <c r="H3" s="5" t="n">
        <f aca="false">_xlfn.T.TEST(B3:B27, C3:C27, 2,2)</f>
        <v>8.08848939614854E-009</v>
      </c>
      <c r="I3" s="5" t="n">
        <f aca="false">_xlfn.T.TEST(B3:B27,C3:C27, 2,3)</f>
        <v>4.06186414945062E-008</v>
      </c>
      <c r="J3" s="5" t="n">
        <f aca="false">AVERAGE(B3:B27)-AVERAGE(C3:C27)</f>
        <v>0.17168387767049</v>
      </c>
      <c r="K3" s="1" t="n">
        <f aca="false">AVERAGE(B3:B27)</f>
        <v>0.736030823503351</v>
      </c>
      <c r="L3" s="1" t="n">
        <f aca="false">AVERAGE(C3:C27)</f>
        <v>0.564346945832861</v>
      </c>
    </row>
    <row r="4" customFormat="false" ht="12.8" hidden="false" customHeight="false" outlineLevel="0" collapsed="false">
      <c r="A4" s="9" t="n">
        <v>2</v>
      </c>
      <c r="B4" s="1" t="n">
        <v>0.726675054349364</v>
      </c>
      <c r="C4" s="6" t="n">
        <v>0.407777700566947</v>
      </c>
    </row>
    <row r="5" customFormat="false" ht="12.8" hidden="false" customHeight="false" outlineLevel="0" collapsed="false">
      <c r="A5" s="9" t="n">
        <v>3</v>
      </c>
      <c r="B5" s="1" t="n">
        <v>0.753823763148008</v>
      </c>
      <c r="C5" s="6" t="n">
        <v>0.64741533537976</v>
      </c>
    </row>
    <row r="6" customFormat="false" ht="12.8" hidden="false" customHeight="false" outlineLevel="0" collapsed="false">
      <c r="A6" s="9" t="n">
        <v>4</v>
      </c>
      <c r="B6" s="1" t="n">
        <v>0.694689160951428</v>
      </c>
      <c r="C6" s="6" t="n">
        <v>0.492147299468326</v>
      </c>
    </row>
    <row r="7" customFormat="false" ht="12.8" hidden="false" customHeight="false" outlineLevel="0" collapsed="false">
      <c r="A7" s="9" t="n">
        <v>5</v>
      </c>
      <c r="B7" s="1" t="n">
        <v>0.750318975083652</v>
      </c>
      <c r="C7" s="6" t="n">
        <v>0.536862868469305</v>
      </c>
    </row>
    <row r="8" customFormat="false" ht="12.8" hidden="false" customHeight="false" outlineLevel="0" collapsed="false">
      <c r="A8" s="9" t="n">
        <v>6</v>
      </c>
      <c r="B8" s="1" t="n">
        <v>0.792897506425522</v>
      </c>
      <c r="C8" s="6" t="n">
        <v>0.63772449375854</v>
      </c>
    </row>
    <row r="9" customFormat="false" ht="12.8" hidden="false" customHeight="false" outlineLevel="0" collapsed="false">
      <c r="A9" s="9" t="n">
        <v>7</v>
      </c>
      <c r="B9" s="1" t="n">
        <v>0.740717063652639</v>
      </c>
      <c r="C9" s="6" t="n">
        <v>0.616656606375133</v>
      </c>
    </row>
    <row r="10" customFormat="false" ht="12.8" hidden="false" customHeight="false" outlineLevel="0" collapsed="false">
      <c r="A10" s="9" t="n">
        <v>8</v>
      </c>
      <c r="B10" s="1" t="n">
        <v>0.701518866188206</v>
      </c>
      <c r="C10" s="6" t="n">
        <v>0.626592572489672</v>
      </c>
    </row>
    <row r="11" customFormat="false" ht="12.8" hidden="false" customHeight="false" outlineLevel="0" collapsed="false">
      <c r="A11" s="9" t="n">
        <v>9</v>
      </c>
      <c r="B11" s="1" t="n">
        <v>0.679408838434061</v>
      </c>
      <c r="C11" s="6" t="n">
        <v>0.648034250961909</v>
      </c>
    </row>
    <row r="12" customFormat="false" ht="12.8" hidden="false" customHeight="false" outlineLevel="0" collapsed="false">
      <c r="A12" s="9" t="n">
        <v>10</v>
      </c>
      <c r="B12" s="1" t="n">
        <v>0.693828339018655</v>
      </c>
      <c r="C12" s="6" t="n">
        <v>0.506323646773135</v>
      </c>
    </row>
    <row r="13" customFormat="false" ht="12.8" hidden="false" customHeight="false" outlineLevel="0" collapsed="false">
      <c r="A13" s="9" t="n">
        <v>11</v>
      </c>
      <c r="B13" s="1" t="n">
        <v>0.714015093691685</v>
      </c>
      <c r="C13" s="6" t="n">
        <v>0.585612272734794</v>
      </c>
    </row>
    <row r="14" customFormat="false" ht="12.8" hidden="false" customHeight="false" outlineLevel="0" collapsed="false">
      <c r="A14" s="9" t="n">
        <v>12</v>
      </c>
      <c r="B14" s="1" t="n">
        <v>0.829353335851788</v>
      </c>
      <c r="C14" s="6" t="n">
        <v>0.522675525488207</v>
      </c>
    </row>
    <row r="15" customFormat="false" ht="12.8" hidden="false" customHeight="false" outlineLevel="0" collapsed="false">
      <c r="A15" s="9" t="n">
        <v>13</v>
      </c>
      <c r="B15" s="1" t="n">
        <v>0.741335114714525</v>
      </c>
      <c r="C15" s="6" t="n">
        <v>0.59336895192208</v>
      </c>
    </row>
    <row r="16" customFormat="false" ht="12.8" hidden="false" customHeight="false" outlineLevel="0" collapsed="false">
      <c r="A16" s="9" t="n">
        <v>14</v>
      </c>
      <c r="B16" s="1" t="n">
        <v>0.777558691836526</v>
      </c>
      <c r="C16" s="6" t="n">
        <v>0.712010193857469</v>
      </c>
    </row>
    <row r="17" customFormat="false" ht="12.8" hidden="false" customHeight="false" outlineLevel="0" collapsed="false">
      <c r="A17" s="9" t="n">
        <v>15</v>
      </c>
      <c r="B17" s="1" t="n">
        <v>0.769655236905789</v>
      </c>
      <c r="C17" s="6" t="n">
        <v>0.389590431331602</v>
      </c>
    </row>
    <row r="18" customFormat="false" ht="12.8" hidden="false" customHeight="false" outlineLevel="0" collapsed="false">
      <c r="A18" s="9" t="n">
        <v>16</v>
      </c>
      <c r="B18" s="1" t="n">
        <v>0.692685234430471</v>
      </c>
      <c r="C18" s="6" t="n">
        <v>0.538461186911437</v>
      </c>
    </row>
    <row r="19" customFormat="false" ht="12.8" hidden="false" customHeight="false" outlineLevel="0" collapsed="false">
      <c r="A19" s="9" t="n">
        <v>17</v>
      </c>
      <c r="B19" s="1" t="n">
        <v>0.805787272798479</v>
      </c>
      <c r="C19" s="6" t="n">
        <v>0.562352229380074</v>
      </c>
    </row>
    <row r="20" customFormat="false" ht="12.8" hidden="false" customHeight="false" outlineLevel="0" collapsed="false">
      <c r="A20" s="9" t="n">
        <v>18</v>
      </c>
      <c r="B20" s="1" t="n">
        <v>0.631093794200336</v>
      </c>
      <c r="C20" s="6" t="n">
        <v>0.449019179327942</v>
      </c>
    </row>
    <row r="21" customFormat="false" ht="12.8" hidden="false" customHeight="false" outlineLevel="0" collapsed="false">
      <c r="A21" s="9" t="n">
        <v>19</v>
      </c>
      <c r="B21" s="1" t="n">
        <v>0.690269162854351</v>
      </c>
      <c r="C21" s="6" t="n">
        <v>0.547046967409802</v>
      </c>
    </row>
    <row r="22" customFormat="false" ht="12.8" hidden="false" customHeight="false" outlineLevel="0" collapsed="false">
      <c r="A22" s="9" t="n">
        <v>20</v>
      </c>
      <c r="B22" s="1" t="n">
        <v>0.697049065043941</v>
      </c>
      <c r="C22" s="6" t="n">
        <v>0.566106097857875</v>
      </c>
    </row>
    <row r="23" customFormat="false" ht="12.8" hidden="false" customHeight="false" outlineLevel="0" collapsed="false">
      <c r="A23" s="9" t="n">
        <v>21</v>
      </c>
      <c r="B23" s="1" t="n">
        <v>0.69517695472312</v>
      </c>
      <c r="C23" s="6" t="n">
        <v>0.404581945723551</v>
      </c>
    </row>
    <row r="24" customFormat="false" ht="12.8" hidden="false" customHeight="false" outlineLevel="0" collapsed="false">
      <c r="A24" s="9" t="n">
        <v>22</v>
      </c>
      <c r="B24" s="1" t="n">
        <v>0.757953803081435</v>
      </c>
      <c r="C24" s="6" t="n">
        <v>0.662444425177304</v>
      </c>
    </row>
    <row r="25" customFormat="false" ht="12.8" hidden="false" customHeight="false" outlineLevel="0" collapsed="false">
      <c r="A25" s="9" t="n">
        <v>23</v>
      </c>
      <c r="B25" s="1" t="n">
        <v>0.663150812819657</v>
      </c>
      <c r="C25" s="6" t="n">
        <v>0.42157129852119</v>
      </c>
    </row>
    <row r="26" customFormat="false" ht="12.8" hidden="false" customHeight="false" outlineLevel="0" collapsed="false">
      <c r="A26" s="9" t="n">
        <v>24</v>
      </c>
      <c r="B26" s="1" t="n">
        <v>0.846569350289584</v>
      </c>
      <c r="C26" s="6" t="n">
        <v>0.744339298226825</v>
      </c>
    </row>
    <row r="27" customFormat="false" ht="12.8" hidden="false" customHeight="false" outlineLevel="0" collapsed="false">
      <c r="A27" s="5" t="n">
        <v>25</v>
      </c>
      <c r="B27" s="1" t="n">
        <v>0.736292798571547</v>
      </c>
      <c r="C27" s="6" t="n">
        <v>0.469428262971454</v>
      </c>
    </row>
    <row r="32" customFormat="false" ht="12.8" hidden="false" customHeight="false" outlineLevel="0" collapsed="false">
      <c r="A32" s="1" t="s">
        <v>120</v>
      </c>
    </row>
    <row r="34" customFormat="false" ht="12.8" hidden="false" customHeight="false" outlineLevel="0" collapsed="false">
      <c r="A34" s="12" t="s">
        <v>109</v>
      </c>
      <c r="B34" s="6" t="s">
        <v>121</v>
      </c>
      <c r="C34" s="6" t="s">
        <v>110</v>
      </c>
      <c r="E34" s="13" t="s">
        <v>122</v>
      </c>
    </row>
    <row r="35" customFormat="false" ht="12.8" hidden="false" customHeight="false" outlineLevel="0" collapsed="false">
      <c r="A35" s="9" t="n">
        <v>1</v>
      </c>
      <c r="B35" s="1" t="n">
        <v>0.790005749889737</v>
      </c>
      <c r="C35" s="1" t="n">
        <v>0.818947298519002</v>
      </c>
      <c r="E35" s="2" t="s">
        <v>123</v>
      </c>
      <c r="F35" s="1" t="n">
        <v>0.05</v>
      </c>
    </row>
    <row r="36" customFormat="false" ht="12.8" hidden="false" customHeight="false" outlineLevel="0" collapsed="false">
      <c r="A36" s="9" t="n">
        <v>2</v>
      </c>
      <c r="B36" s="1" t="n">
        <v>0.681735099200446</v>
      </c>
      <c r="C36" s="1" t="n">
        <v>0.726675054349364</v>
      </c>
      <c r="E36" s="2" t="s">
        <v>124</v>
      </c>
      <c r="F36" s="1" t="n">
        <v>0</v>
      </c>
    </row>
    <row r="37" customFormat="false" ht="12.8" hidden="false" customHeight="false" outlineLevel="0" collapsed="false">
      <c r="A37" s="9" t="n">
        <v>3</v>
      </c>
      <c r="B37" s="1" t="n">
        <v>0.736591542434996</v>
      </c>
      <c r="C37" s="1" t="n">
        <v>0.753823763148008</v>
      </c>
      <c r="E37" s="2"/>
      <c r="F37" s="13" t="s">
        <v>125</v>
      </c>
      <c r="G37" s="13" t="s">
        <v>126</v>
      </c>
    </row>
    <row r="38" customFormat="false" ht="12.8" hidden="false" customHeight="false" outlineLevel="0" collapsed="false">
      <c r="A38" s="9" t="n">
        <v>4</v>
      </c>
      <c r="B38" s="1" t="n">
        <v>0.65821229308805</v>
      </c>
      <c r="C38" s="1" t="n">
        <v>0.694689160951428</v>
      </c>
      <c r="E38" s="2" t="s">
        <v>127</v>
      </c>
      <c r="F38" s="1" t="n">
        <f aca="false">AVERAGE(Inter_system_stats!$B$34:$B$59)</f>
        <v>0.728056470408934</v>
      </c>
      <c r="G38" s="1" t="n">
        <f aca="false">AVERAGE(Inter_system_stats!$C$34:$C$59)</f>
        <v>0.736030823503351</v>
      </c>
    </row>
    <row r="39" customFormat="false" ht="12.8" hidden="false" customHeight="false" outlineLevel="0" collapsed="false">
      <c r="A39" s="9" t="n">
        <v>5</v>
      </c>
      <c r="B39" s="1" t="n">
        <v>0.743184893131854</v>
      </c>
      <c r="C39" s="1" t="n">
        <v>0.750318975083652</v>
      </c>
      <c r="E39" s="2" t="s">
        <v>128</v>
      </c>
      <c r="F39" s="1" t="n">
        <f aca="false">VAR(Inter_system_stats!$B$34:$B$59)</f>
        <v>0.00373474514581052</v>
      </c>
      <c r="G39" s="1" t="n">
        <f aca="false">VAR(Inter_system_stats!$C$34:$C$59)</f>
        <v>0.00298974415306126</v>
      </c>
    </row>
    <row r="40" customFormat="false" ht="12.8" hidden="false" customHeight="false" outlineLevel="0" collapsed="false">
      <c r="A40" s="9" t="n">
        <v>6</v>
      </c>
      <c r="B40" s="1" t="n">
        <v>0.738363300257884</v>
      </c>
      <c r="C40" s="1" t="n">
        <v>0.792897506425522</v>
      </c>
      <c r="E40" s="2" t="s">
        <v>129</v>
      </c>
      <c r="F40" s="1" t="n">
        <f aca="false">COUNT(Inter_system_stats!$B$34:$B$59)</f>
        <v>25</v>
      </c>
      <c r="G40" s="1" t="n">
        <f aca="false">COUNT(Inter_system_stats!$C$34:$C$59)</f>
        <v>25</v>
      </c>
    </row>
    <row r="41" customFormat="false" ht="12.8" hidden="false" customHeight="false" outlineLevel="0" collapsed="false">
      <c r="A41" s="9" t="n">
        <v>7</v>
      </c>
      <c r="B41" s="1" t="n">
        <v>0.802709380775578</v>
      </c>
      <c r="C41" s="1" t="n">
        <v>0.740717063652639</v>
      </c>
      <c r="E41" s="2" t="s">
        <v>130</v>
      </c>
      <c r="F41" s="1" t="n">
        <f aca="false">CORREL(Inter_system_stats!$B$34:$B$59,Inter_system_stats!$C$34:$C$59)</f>
        <v>0.811101479844653</v>
      </c>
    </row>
    <row r="42" customFormat="false" ht="12.8" hidden="false" customHeight="false" outlineLevel="0" collapsed="false">
      <c r="A42" s="9" t="n">
        <v>8</v>
      </c>
      <c r="B42" s="1" t="n">
        <v>0.767137820624339</v>
      </c>
      <c r="C42" s="1" t="n">
        <v>0.701518866188206</v>
      </c>
      <c r="E42" s="2" t="s">
        <v>131</v>
      </c>
      <c r="F42" s="1" t="n">
        <f aca="false" t="array" ref="F42:F42">AVERAGE(IF(ISODD(IF(ISNUMBER(Inter_system_stats!$B$34:$B$59), 1, 0) * IF(ISNUMBER(Inter_system_stats!$C$34:$C$59), 1, 0)), Inter_system_stats!$B$34:$B$59 - Inter_system_stats!$C$34:$C$59, "NA"))</f>
        <v>-0.00797435309441729</v>
      </c>
    </row>
    <row r="43" customFormat="false" ht="12.8" hidden="false" customHeight="false" outlineLevel="0" collapsed="false">
      <c r="A43" s="9" t="n">
        <v>9</v>
      </c>
      <c r="B43" s="1" t="n">
        <v>0.655203842604779</v>
      </c>
      <c r="C43" s="1" t="n">
        <v>0.679408838434061</v>
      </c>
      <c r="E43" s="2" t="s">
        <v>132</v>
      </c>
      <c r="F43" s="1" t="n">
        <f aca="false" t="array" ref="F43:F43">VAR(IF(ISODD(IF(ISNUMBER(Inter_system_stats!$B$34:$B$59), 1, 0) * IF(ISNUMBER(Inter_system_stats!$C$34:$C$59), 1, 0)), Inter_system_stats!$B$34:$B$59 - Inter_system_stats!$C$34:$C$59, "NA"))</f>
        <v>0.00130382280984419</v>
      </c>
    </row>
    <row r="44" customFormat="false" ht="12.8" hidden="false" customHeight="false" outlineLevel="0" collapsed="false">
      <c r="A44" s="9" t="n">
        <v>10</v>
      </c>
      <c r="B44" s="1" t="n">
        <v>0.700905183166286</v>
      </c>
      <c r="C44" s="1" t="n">
        <v>0.693828339018655</v>
      </c>
      <c r="E44" s="2" t="s">
        <v>133</v>
      </c>
      <c r="F44" s="1" t="n">
        <f aca="false" t="array" ref="F44:F44">SUM(IF(ISNUMBER(Inter_system_stats!$B$34:$B$59), 1, 0) * IF(ISNUMBER(Inter_system_stats!$C$34:$C$59), 1, 0)) - 1</f>
        <v>24</v>
      </c>
    </row>
    <row r="45" customFormat="false" ht="12.8" hidden="false" customHeight="false" outlineLevel="0" collapsed="false">
      <c r="A45" s="9" t="n">
        <v>11</v>
      </c>
      <c r="B45" s="1" t="n">
        <v>0.719629235257693</v>
      </c>
      <c r="C45" s="1" t="n">
        <v>0.714015093691685</v>
      </c>
      <c r="E45" s="2" t="s">
        <v>134</v>
      </c>
      <c r="F45" s="1" t="n">
        <f aca="false">(Inter_system_stats!$F$42 - Inter_system_stats!$F$36) / (Inter_system_stats!$F$43 / ( Inter_system_stats!$F$44 + 1)) ^ 0.5</f>
        <v>-1.1042214488995</v>
      </c>
    </row>
    <row r="46" customFormat="false" ht="12.8" hidden="false" customHeight="false" outlineLevel="0" collapsed="false">
      <c r="A46" s="9" t="n">
        <v>12</v>
      </c>
      <c r="B46" s="1" t="n">
        <v>0.831621410337318</v>
      </c>
      <c r="C46" s="1" t="n">
        <v>0.829353335851788</v>
      </c>
      <c r="E46" s="2" t="s">
        <v>135</v>
      </c>
      <c r="F46" s="1" t="n">
        <f aca="false">TDIST(ABS(Inter_system_stats!$F$45), Inter_system_stats!$F$44, 1)</f>
        <v>0.140222700050282</v>
      </c>
    </row>
    <row r="47" customFormat="false" ht="12.8" hidden="false" customHeight="false" outlineLevel="0" collapsed="false">
      <c r="A47" s="9" t="n">
        <v>13</v>
      </c>
      <c r="B47" s="1" t="n">
        <v>0.709519501585356</v>
      </c>
      <c r="C47" s="1" t="n">
        <v>0.741335114714525</v>
      </c>
      <c r="E47" s="2" t="s">
        <v>136</v>
      </c>
      <c r="F47" s="1" t="n">
        <f aca="false">TINV(2*Inter_system_stats!$F$35, Inter_system_stats!$F$44)</f>
        <v>1.71088207990943</v>
      </c>
    </row>
    <row r="48" customFormat="false" ht="12.8" hidden="false" customHeight="false" outlineLevel="0" collapsed="false">
      <c r="A48" s="9" t="n">
        <v>14</v>
      </c>
      <c r="B48" s="1" t="n">
        <v>0.752588038781123</v>
      </c>
      <c r="C48" s="1" t="n">
        <v>0.777558691836526</v>
      </c>
      <c r="E48" s="2" t="s">
        <v>137</v>
      </c>
      <c r="F48" s="1" t="n">
        <f aca="false">TDIST(ABS(Inter_system_stats!$F$45), Inter_system_stats!$F$44, 2)</f>
        <v>0.280445400100564</v>
      </c>
    </row>
    <row r="49" customFormat="false" ht="12.8" hidden="false" customHeight="false" outlineLevel="0" collapsed="false">
      <c r="A49" s="9" t="n">
        <v>15</v>
      </c>
      <c r="B49" s="1" t="n">
        <v>0.742555870420495</v>
      </c>
      <c r="C49" s="1" t="n">
        <v>0.769655236905789</v>
      </c>
      <c r="E49" s="2" t="s">
        <v>138</v>
      </c>
      <c r="F49" s="1" t="n">
        <f aca="false">TINV(Inter_system_stats!$F$35, Inter_system_stats!$F$44)</f>
        <v>2.06389856162803</v>
      </c>
    </row>
    <row r="50" customFormat="false" ht="12.8" hidden="false" customHeight="false" outlineLevel="0" collapsed="false">
      <c r="A50" s="9" t="n">
        <v>16</v>
      </c>
      <c r="B50" s="1" t="n">
        <v>0.626600189640605</v>
      </c>
      <c r="C50" s="1" t="n">
        <v>0.692685234430471</v>
      </c>
    </row>
    <row r="51" customFormat="false" ht="12.8" hidden="false" customHeight="false" outlineLevel="0" collapsed="false">
      <c r="A51" s="9" t="n">
        <v>17</v>
      </c>
      <c r="B51" s="1" t="n">
        <v>0.81814248001184</v>
      </c>
      <c r="C51" s="1" t="n">
        <v>0.805787272798479</v>
      </c>
    </row>
    <row r="52" customFormat="false" ht="12.8" hidden="false" customHeight="false" outlineLevel="0" collapsed="false">
      <c r="A52" s="9" t="n">
        <v>18</v>
      </c>
      <c r="B52" s="1" t="n">
        <v>0.647963419254761</v>
      </c>
      <c r="C52" s="1" t="n">
        <v>0.631093794200336</v>
      </c>
    </row>
    <row r="53" customFormat="false" ht="12.8" hidden="false" customHeight="false" outlineLevel="0" collapsed="false">
      <c r="A53" s="9" t="n">
        <v>19</v>
      </c>
      <c r="B53" s="1" t="n">
        <v>0.643841741383017</v>
      </c>
      <c r="C53" s="1" t="n">
        <v>0.690269162854351</v>
      </c>
    </row>
    <row r="54" customFormat="false" ht="12.8" hidden="false" customHeight="false" outlineLevel="0" collapsed="false">
      <c r="A54" s="9" t="n">
        <v>20</v>
      </c>
      <c r="B54" s="1" t="n">
        <v>0.654547731132537</v>
      </c>
      <c r="C54" s="1" t="n">
        <v>0.697049065043941</v>
      </c>
    </row>
    <row r="55" customFormat="false" ht="12.8" hidden="false" customHeight="false" outlineLevel="0" collapsed="false">
      <c r="A55" s="9" t="n">
        <v>21</v>
      </c>
      <c r="B55" s="1" t="n">
        <v>0.737279793404405</v>
      </c>
      <c r="C55" s="1" t="n">
        <v>0.69517695472312</v>
      </c>
    </row>
    <row r="56" customFormat="false" ht="12.8" hidden="false" customHeight="false" outlineLevel="0" collapsed="false">
      <c r="A56" s="9" t="n">
        <v>22</v>
      </c>
      <c r="B56" s="1" t="n">
        <v>0.741791001479869</v>
      </c>
      <c r="C56" s="1" t="n">
        <v>0.757953803081435</v>
      </c>
    </row>
    <row r="57" customFormat="false" ht="12.8" hidden="false" customHeight="false" outlineLevel="0" collapsed="false">
      <c r="A57" s="9" t="n">
        <v>23</v>
      </c>
      <c r="B57" s="1" t="n">
        <v>0.720324505975325</v>
      </c>
      <c r="C57" s="1" t="n">
        <v>0.663150812819657</v>
      </c>
    </row>
    <row r="58" customFormat="false" ht="12.8" hidden="false" customHeight="false" outlineLevel="0" collapsed="false">
      <c r="A58" s="9" t="n">
        <v>24</v>
      </c>
      <c r="B58" s="1" t="n">
        <v>0.85301227080764</v>
      </c>
      <c r="C58" s="1" t="n">
        <v>0.846569350289584</v>
      </c>
    </row>
    <row r="59" customFormat="false" ht="12.8" hidden="false" customHeight="false" outlineLevel="0" collapsed="false">
      <c r="A59" s="5" t="n">
        <v>25</v>
      </c>
      <c r="B59" s="1" t="n">
        <v>0.727945465577406</v>
      </c>
      <c r="C59" s="1" t="n">
        <v>0.736292798571547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2026-02-20T16:36:12Z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